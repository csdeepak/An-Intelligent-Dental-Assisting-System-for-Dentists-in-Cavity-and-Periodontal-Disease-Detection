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5.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6.xml" ContentType="application/vnd.openxmlformats-officedocument.spreadsheetml.table+xml"/>
  <Override PartName="/xl/worksheets/sheet8.xml" ContentType="application/vnd.openxmlformats-officedocument.spreadsheetml.worksheet+xml"/>
  <Override PartName="/xl/drawings/drawing6.xml" ContentType="application/vnd.openxmlformats-officedocument.drawing+xml"/>
  <Override PartName="/xl/tables/table7.xml" ContentType="application/vnd.openxmlformats-officedocument.spreadsheetml.table+xml"/>
  <Override PartName="/xl/worksheets/sheet9.xml" ContentType="application/vnd.openxmlformats-officedocument.spreadsheetml.worksheet+xml"/>
  <Override PartName="/xl/drawings/drawing7.xml" ContentType="application/vnd.openxmlformats-officedocument.drawing+xml"/>
  <Override PartName="/xl/tables/table8.xml" ContentType="application/vnd.openxmlformats-officedocument.spreadsheetml.table+xml"/>
  <Override PartName="/xl/worksheets/sheet10.xml" ContentType="application/vnd.openxmlformats-officedocument.spreadsheetml.worksheet+xml"/>
  <Override PartName="/xl/drawings/drawing8.xml" ContentType="application/vnd.openxmlformats-officedocument.drawing+xml"/>
  <Override PartName="/xl/tables/table9.xml" ContentType="application/vnd.openxmlformats-officedocument.spreadsheetml.table+xml"/>
  <Override PartName="/xl/worksheets/sheet11.xml" ContentType="application/vnd.openxmlformats-officedocument.spreadsheetml.worksheet+xml"/>
  <Override PartName="/xl/drawings/drawing9.xml" ContentType="application/vnd.openxmlformats-officedocument.drawing+xml"/>
  <Override PartName="/xl/tables/table10.xml" ContentType="application/vnd.openxmlformats-officedocument.spreadsheetml.table+xml"/>
  <Override PartName="/xl/worksheets/sheet12.xml" ContentType="application/vnd.openxmlformats-officedocument.spreadsheetml.worksheet+xml"/>
  <Override PartName="/xl/drawings/drawing10.xml" ContentType="application/vnd.openxmlformats-officedocument.drawing+xml"/>
  <Override PartName="/xl/tables/table11.xml" ContentType="application/vnd.openxmlformats-officedocument.spreadsheetml.table+xml"/>
  <Override PartName="/xl/worksheets/sheet13.xml" ContentType="application/vnd.openxmlformats-officedocument.spreadsheetml.worksheet+xml"/>
  <Override PartName="/xl/drawings/drawing11.xml" ContentType="application/vnd.openxmlformats-officedocument.drawing+xml"/>
  <Override PartName="/xl/tables/table1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3" sheetId="1" state="visible" r:id="rId1"/>
    <sheet xmlns:r="http://schemas.openxmlformats.org/officeDocument/2006/relationships" name="Sheet4" sheetId="2" state="visible" r:id="rId2"/>
    <sheet xmlns:r="http://schemas.openxmlformats.org/officeDocument/2006/relationships" name="Sheet5" sheetId="3" state="visible" r:id="rId3"/>
    <sheet xmlns:r="http://schemas.openxmlformats.org/officeDocument/2006/relationships" name="Sheet6" sheetId="4" state="visible" r:id="rId4"/>
    <sheet xmlns:r="http://schemas.openxmlformats.org/officeDocument/2006/relationships" name="Number of Publications by Stand" sheetId="5" state="visible" r:id="rId5"/>
    <sheet xmlns:r="http://schemas.openxmlformats.org/officeDocument/2006/relationships" name=" Top Datasets by Weighted Contr" sheetId="6" state="visible" r:id="rId6"/>
    <sheet xmlns:r="http://schemas.openxmlformats.org/officeDocument/2006/relationships" name=" Weighted Evidence Distribution" sheetId="7" state="visible" r:id="rId7"/>
    <sheet xmlns:r="http://schemas.openxmlformats.org/officeDocument/2006/relationships" name=" Weighted Contribution of Model" sheetId="8" state="visible" r:id="rId8"/>
    <sheet xmlns:r="http://schemas.openxmlformats.org/officeDocument/2006/relationships" name=" Model Family Weighted Contribu" sheetId="9" state="visible" r:id="rId9"/>
    <sheet xmlns:r="http://schemas.openxmlformats.org/officeDocument/2006/relationships" name="Sheet9" sheetId="10" state="visible" r:id="rId10"/>
    <sheet xmlns:r="http://schemas.openxmlformats.org/officeDocument/2006/relationships" name="Model Family Weighted Contribut" sheetId="11" state="visible" r:id="rId11"/>
    <sheet xmlns:r="http://schemas.openxmlformats.org/officeDocument/2006/relationships" name="Chart1 Distribution of Model Fa" sheetId="12" state="visible" r:id="rId12"/>
    <sheet xmlns:r="http://schemas.openxmlformats.org/officeDocument/2006/relationships" name="Chart1 Frequency of Explicit Se" sheetId="13" state="visible" r:id="rId13"/>
  </sheets>
  <definedNames/>
  <calcPr calcId="124519" fullCalcOnLoad="1"/>
</workbook>
</file>

<file path=xl/styles.xml><?xml version="1.0" encoding="utf-8"?>
<styleSheet xmlns="http://schemas.openxmlformats.org/spreadsheetml/2006/main">
  <numFmts count="0"/>
  <fonts count="14">
    <font>
      <name val="Arial"/>
      <color rgb="FF000000"/>
      <sz val="10"/>
      <scheme val="minor"/>
    </font>
    <font>
      <name val="Arial"/>
      <b val="1"/>
      <color theme="1"/>
      <scheme val="minor"/>
    </font>
    <font>
      <name val="Arial"/>
      <color theme="1"/>
      <scheme val="minor"/>
    </font>
    <font>
      <b val="1"/>
      <color rgb="FF0000FF"/>
      <sz val="11"/>
      <u val="single"/>
    </font>
    <font>
      <name val="Calibri"/>
      <b val="1"/>
      <color theme="1"/>
      <sz val="11"/>
    </font>
    <font>
      <name val="Arial"/>
      <b val="1"/>
      <color theme="1"/>
      <sz val="11"/>
      <scheme val="minor"/>
    </font>
    <font>
      <name val="Arial"/>
      <color theme="1"/>
      <sz val="11"/>
      <scheme val="minor"/>
    </font>
    <font>
      <name val="&quot;Times New Roman&quot;"/>
      <b val="1"/>
      <color rgb="FF0000FF"/>
      <sz val="12"/>
      <u val="single"/>
    </font>
    <font>
      <b val="1"/>
      <color rgb="FF0000FF"/>
      <sz val="11"/>
      <u val="single"/>
    </font>
    <font>
      <name val="Calibri"/>
      <color theme="1"/>
      <sz val="11"/>
    </font>
    <font>
      <b val="1"/>
      <color rgb="FF0000FF"/>
      <u val="single"/>
    </font>
    <font>
      <name val="Arial"/>
      <b val="1"/>
      <color rgb="FF1155CC"/>
      <sz val="11"/>
      <u val="single"/>
    </font>
    <font>
      <name val="Arial"/>
      <color theme="1"/>
      <sz val="10"/>
      <scheme val="minor"/>
    </font>
    <font>
      <name val="Roboto Mono"/>
      <color rgb="FF1F1F1F"/>
    </font>
  </fonts>
  <fills count="18">
    <fill>
      <patternFill/>
    </fill>
    <fill>
      <patternFill patternType="lightGray"/>
    </fill>
    <fill>
      <patternFill patternType="solid">
        <fgColor rgb="FFFF9900"/>
        <bgColor rgb="FFFF9900"/>
      </patternFill>
    </fill>
    <fill>
      <patternFill patternType="solid">
        <fgColor rgb="FF00FFFF"/>
        <bgColor rgb="FF00FFFF"/>
      </patternFill>
    </fill>
    <fill>
      <patternFill patternType="solid">
        <fgColor rgb="FFE6B8AF"/>
        <bgColor rgb="FFE6B8AF"/>
      </patternFill>
    </fill>
    <fill>
      <patternFill patternType="solid">
        <fgColor rgb="FFFFFF00"/>
        <bgColor rgb="FFFFFF00"/>
      </patternFill>
    </fill>
    <fill>
      <patternFill patternType="solid">
        <fgColor rgb="FF76A5AF"/>
        <bgColor rgb="FF76A5AF"/>
      </patternFill>
    </fill>
    <fill>
      <patternFill patternType="solid">
        <fgColor rgb="FFFF0000"/>
        <bgColor rgb="FFFF0000"/>
      </patternFill>
    </fill>
    <fill>
      <patternFill patternType="solid">
        <fgColor rgb="FF00FF00"/>
        <bgColor rgb="FF00FF00"/>
      </patternFill>
    </fill>
    <fill>
      <patternFill patternType="solid">
        <fgColor rgb="FF7F6000"/>
        <bgColor rgb="FF7F6000"/>
      </patternFill>
    </fill>
    <fill>
      <patternFill patternType="solid">
        <fgColor rgb="FFEA9999"/>
        <bgColor rgb="FFEA9999"/>
      </patternFill>
    </fill>
    <fill>
      <patternFill patternType="solid">
        <fgColor rgb="FF6FA8DC"/>
        <bgColor rgb="FF6FA8DC"/>
      </patternFill>
    </fill>
    <fill>
      <patternFill patternType="solid">
        <fgColor rgb="FFF6B26B"/>
        <bgColor rgb="FFF6B26B"/>
      </patternFill>
    </fill>
    <fill>
      <patternFill patternType="solid">
        <fgColor rgb="FFFFF2CC"/>
        <bgColor rgb="FFFFF2CC"/>
      </patternFill>
    </fill>
    <fill>
      <patternFill patternType="solid">
        <fgColor rgb="FFCC0000"/>
        <bgColor rgb="FFCC0000"/>
      </patternFill>
    </fill>
    <fill>
      <patternFill patternType="solid">
        <fgColor rgb="FF3C78D8"/>
        <bgColor rgb="FF3C78D8"/>
      </patternFill>
    </fill>
    <fill>
      <patternFill patternType="solid">
        <fgColor rgb="FFA61C00"/>
        <bgColor rgb="FFA61C00"/>
      </patternFill>
    </fill>
    <fill>
      <patternFill patternType="solid">
        <fgColor rgb="FFF0F4F9"/>
        <bgColor rgb="FFF0F4F9"/>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60">
    <xf numFmtId="0" fontId="0" fillId="0" borderId="0" applyAlignment="1" pivotButton="0" quotePrefix="0" xfId="0">
      <alignment vertical="bottom"/>
    </xf>
    <xf numFmtId="0" fontId="1" fillId="2" borderId="0" pivotButton="0" quotePrefix="0" xfId="0"/>
    <xf numFmtId="0" fontId="1" fillId="2" borderId="0" applyAlignment="1" pivotButton="0" quotePrefix="0" xfId="0">
      <alignment horizontal="center" wrapText="1"/>
    </xf>
    <xf numFmtId="0" fontId="2" fillId="0" borderId="0" pivotButton="0" quotePrefix="0" xfId="0"/>
    <xf numFmtId="0" fontId="2" fillId="0" borderId="0" applyAlignment="1" pivotButton="0" quotePrefix="0" xfId="0">
      <alignment wrapText="1"/>
    </xf>
    <xf numFmtId="0" fontId="3" fillId="2" borderId="0" applyAlignment="1" pivotButton="0" quotePrefix="0" xfId="0">
      <alignment horizontal="center" vertical="center" wrapText="1"/>
    </xf>
    <xf numFmtId="0" fontId="4" fillId="3" borderId="1" applyAlignment="1" pivotButton="0" quotePrefix="0" xfId="0">
      <alignment horizontal="center" vertical="top" wrapText="1"/>
    </xf>
    <xf numFmtId="0" fontId="5"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5" fillId="2" borderId="0" applyAlignment="1" pivotButton="0" quotePrefix="0" xfId="0">
      <alignment horizontal="center" vertical="center"/>
    </xf>
    <xf numFmtId="0" fontId="6" fillId="0" borderId="0" applyAlignment="1" pivotButton="0" quotePrefix="0" xfId="0">
      <alignment wrapText="1"/>
    </xf>
    <xf numFmtId="0" fontId="5" fillId="0" borderId="0" applyAlignment="1" pivotButton="0" quotePrefix="0" xfId="0">
      <alignment horizontal="center" vertical="center" wrapText="1"/>
    </xf>
    <xf numFmtId="0" fontId="5" fillId="4" borderId="0" applyAlignment="1" pivotButton="0" quotePrefix="0" xfId="0">
      <alignment horizontal="center" vertical="center" wrapText="1"/>
    </xf>
    <xf numFmtId="0" fontId="7" fillId="0" borderId="0" applyAlignment="1" pivotButton="0" quotePrefix="0" xfId="0">
      <alignment wrapText="1"/>
    </xf>
    <xf numFmtId="0" fontId="8" fillId="0" borderId="0" applyAlignment="1" pivotButton="0" quotePrefix="0" xfId="0">
      <alignment horizontal="center" vertical="center" wrapText="1"/>
    </xf>
    <xf numFmtId="0" fontId="6" fillId="0" borderId="0" applyAlignment="1" pivotButton="0" quotePrefix="0" xfId="0">
      <alignment wrapText="1"/>
    </xf>
    <xf numFmtId="0" fontId="5" fillId="0" borderId="0" applyAlignment="1" pivotButton="0" quotePrefix="0" xfId="0">
      <alignment horizontal="center" vertical="center"/>
    </xf>
    <xf numFmtId="0" fontId="9" fillId="0" borderId="0" applyAlignment="1" pivotButton="0" quotePrefix="0" xfId="0">
      <alignment horizontal="right" vertical="bottom" wrapText="1"/>
    </xf>
    <xf numFmtId="0" fontId="10" fillId="0" borderId="0" applyAlignment="1" pivotButton="0" quotePrefix="0" xfId="0">
      <alignment wrapText="1"/>
    </xf>
    <xf numFmtId="0" fontId="2" fillId="0" borderId="0" applyAlignment="1" pivotButton="0" quotePrefix="0" xfId="0">
      <alignment wrapText="1"/>
    </xf>
    <xf numFmtId="0" fontId="2" fillId="5" borderId="0" applyAlignment="1" pivotButton="0" quotePrefix="0" xfId="0">
      <alignment wrapText="1"/>
    </xf>
    <xf numFmtId="0" fontId="2" fillId="0" borderId="0" applyAlignment="1" pivotButton="0" quotePrefix="0" xfId="0">
      <alignment vertical="center" wrapText="1"/>
    </xf>
    <xf numFmtId="0" fontId="5" fillId="6" borderId="0" applyAlignment="1" pivotButton="0" quotePrefix="0" xfId="0">
      <alignment horizontal="center" vertical="center" wrapText="1"/>
    </xf>
    <xf numFmtId="0" fontId="5" fillId="7" borderId="0" applyAlignment="1" pivotButton="0" quotePrefix="0" xfId="0">
      <alignment horizontal="center" vertical="center" wrapText="1"/>
    </xf>
    <xf numFmtId="0" fontId="6" fillId="7" borderId="0" applyAlignment="1" pivotButton="0" quotePrefix="0" xfId="0">
      <alignment wrapText="1"/>
    </xf>
    <xf numFmtId="0" fontId="5" fillId="7" borderId="0" applyAlignment="1" pivotButton="0" quotePrefix="0" xfId="0">
      <alignment horizontal="center" vertical="center"/>
    </xf>
    <xf numFmtId="0" fontId="6" fillId="0" borderId="0" pivotButton="0" quotePrefix="0" xfId="0"/>
    <xf numFmtId="0" fontId="5" fillId="5" borderId="0" applyAlignment="1" pivotButton="0" quotePrefix="0" xfId="0">
      <alignment horizontal="center" vertical="center"/>
    </xf>
    <xf numFmtId="0" fontId="1" fillId="7" borderId="0" applyAlignment="1" pivotButton="0" quotePrefix="0" xfId="0">
      <alignment horizontal="center" vertical="center" wrapText="1"/>
    </xf>
    <xf numFmtId="0" fontId="5" fillId="5" borderId="0" applyAlignment="1" pivotButton="0" quotePrefix="0" xfId="0">
      <alignment horizontal="center" vertical="center" wrapText="1"/>
    </xf>
    <xf numFmtId="0" fontId="2" fillId="8" borderId="0" pivotButton="0" quotePrefix="0" xfId="0"/>
    <xf numFmtId="0" fontId="2" fillId="0" borderId="0" applyAlignment="1" pivotButton="0" quotePrefix="0" xfId="0">
      <alignment horizontal="left" vertical="center"/>
    </xf>
    <xf numFmtId="0" fontId="5" fillId="7" borderId="0" applyAlignment="1" pivotButton="0" quotePrefix="0" xfId="0">
      <alignment horizontal="center" vertical="center" wrapText="1"/>
    </xf>
    <xf numFmtId="0" fontId="2" fillId="0" borderId="0" applyAlignment="1" pivotButton="0" quotePrefix="0" xfId="0">
      <alignment vertical="center"/>
    </xf>
    <xf numFmtId="0" fontId="2" fillId="0" borderId="0" applyAlignment="1" pivotButton="0" quotePrefix="0" xfId="0">
      <alignment vertical="center"/>
    </xf>
    <xf numFmtId="0" fontId="2" fillId="0" borderId="0" pivotButton="0" quotePrefix="0" xfId="0"/>
    <xf numFmtId="0" fontId="5" fillId="8" borderId="0" applyAlignment="1" pivotButton="0" quotePrefix="0" xfId="0">
      <alignment horizontal="center" vertical="center" wrapText="1"/>
    </xf>
    <xf numFmtId="0" fontId="2" fillId="9" borderId="0" applyAlignment="1" pivotButton="0" quotePrefix="0" xfId="0">
      <alignment wrapText="1"/>
    </xf>
    <xf numFmtId="0" fontId="5" fillId="8" borderId="0" applyAlignment="1" pivotButton="0" quotePrefix="0" xfId="0">
      <alignment horizontal="center" vertical="center"/>
    </xf>
    <xf numFmtId="0" fontId="5" fillId="0" borderId="0" applyAlignment="1" pivotButton="0" quotePrefix="0" xfId="0">
      <alignment wrapText="1"/>
    </xf>
    <xf numFmtId="0" fontId="5" fillId="0" borderId="0" applyAlignment="1" pivotButton="0" quotePrefix="0" xfId="0">
      <alignment horizontal="center" vertical="center" wrapText="1"/>
    </xf>
    <xf numFmtId="0" fontId="5" fillId="0" borderId="0" applyAlignment="1" pivotButton="0" quotePrefix="0" xfId="0">
      <alignment horizontal="center" vertical="center"/>
    </xf>
    <xf numFmtId="0" fontId="5" fillId="10" borderId="0" applyAlignment="1" pivotButton="0" quotePrefix="0" xfId="0">
      <alignment horizontal="center" vertical="center" wrapText="1"/>
    </xf>
    <xf numFmtId="0" fontId="11" fillId="0" borderId="0" applyAlignment="1" pivotButton="0" quotePrefix="0" xfId="0">
      <alignment horizontal="center" wrapText="1"/>
    </xf>
    <xf numFmtId="0" fontId="2" fillId="2" borderId="0" applyAlignment="1" pivotButton="0" quotePrefix="0" xfId="0">
      <alignment wrapText="1"/>
    </xf>
    <xf numFmtId="0" fontId="12" fillId="0" borderId="0" applyAlignment="1" pivotButton="0" quotePrefix="0" xfId="0">
      <alignment horizontal="center" vertical="center" wrapText="1"/>
    </xf>
    <xf numFmtId="0" fontId="5" fillId="11" borderId="0" applyAlignment="1" pivotButton="0" quotePrefix="0" xfId="0">
      <alignment horizontal="center" vertical="center" wrapText="1"/>
    </xf>
    <xf numFmtId="0" fontId="5" fillId="12" borderId="0" applyAlignment="1" pivotButton="0" quotePrefix="0" xfId="0">
      <alignment horizontal="center" vertical="center" wrapText="1"/>
    </xf>
    <xf numFmtId="0" fontId="5" fillId="13" borderId="0" applyAlignment="1" pivotButton="0" quotePrefix="0" xfId="0">
      <alignment horizontal="center" vertical="center" wrapText="1"/>
    </xf>
    <xf numFmtId="0" fontId="2" fillId="14" borderId="0" applyAlignment="1" pivotButton="0" quotePrefix="0" xfId="0">
      <alignment wrapText="1"/>
    </xf>
    <xf numFmtId="0" fontId="5" fillId="15" borderId="0" applyAlignment="1" pivotButton="0" quotePrefix="0" xfId="0">
      <alignment horizontal="center" vertical="center" wrapText="1"/>
    </xf>
    <xf numFmtId="0" fontId="5" fillId="16" borderId="0" applyAlignment="1" pivotButton="0" quotePrefix="0" xfId="0">
      <alignment horizontal="center" vertical="center" wrapText="1"/>
    </xf>
    <xf numFmtId="0" fontId="1" fillId="0" borderId="0" applyAlignment="1" pivotButton="0" quotePrefix="0" xfId="0">
      <alignment horizontal="center" vertical="center" wrapText="1"/>
    </xf>
    <xf numFmtId="0" fontId="1" fillId="0" borderId="0" applyAlignment="1" pivotButton="0" quotePrefix="0" xfId="0">
      <alignment horizontal="center" vertical="center"/>
    </xf>
    <xf numFmtId="0" fontId="2" fillId="8" borderId="0" applyAlignment="1" pivotButton="0" quotePrefix="0" xfId="0">
      <alignment wrapText="1"/>
    </xf>
    <xf numFmtId="0" fontId="9" fillId="0" borderId="0" applyAlignment="1" pivotButton="0" quotePrefix="0" xfId="0">
      <alignment vertical="bottom" wrapText="1"/>
    </xf>
    <xf numFmtId="0" fontId="1" fillId="0" borderId="0" pivotButton="0" quotePrefix="0" xfId="0"/>
    <xf numFmtId="0" fontId="2" fillId="0" borderId="0" applyAlignment="1" pivotButton="0" quotePrefix="0" xfId="0">
      <alignment horizontal="right"/>
    </xf>
    <xf numFmtId="0" fontId="13" fillId="17" borderId="0" applyAlignment="1" pivotButton="0" quotePrefix="0" xfId="0">
      <alignment/>
    </xf>
    <xf numFmtId="0" fontId="0" fillId="0" borderId="0" pivotButton="0" quotePrefix="0" xfId="0"/>
  </cellXfs>
  <cellStyles count="1">
    <cellStyle name="Normal" xfId="0" builtinId="0"/>
  </cellStyles>
  <dxfs count="5">
    <dxf>
      <font/>
      <fill>
        <patternFill/>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535FC1"/>
        </left>
        <right style="thin">
          <color rgb="FF535FC1"/>
        </right>
        <top style="thin">
          <color rgb="FF535FC1"/>
        </top>
        <bottom style="thin">
          <color rgb="FF535FC1"/>
        </bottom>
      </border>
    </dxf>
  </dxfs>
  <tableStyles count="12" defaultTableStyle="TableStyleMedium9" defaultPivotStyle="PivotStyleLight16">
    <tableStyle name="Sheet6-style" pivot="0" count="4">
      <tableStyleElement type="headerRow" dxfId="1"/>
      <tableStyleElement type="firstRowStripe" dxfId="2"/>
      <tableStyleElement type="secondRowStripe" dxfId="3"/>
      <tableStyleElement type="wholeTable" size="0" dxfId="4"/>
    </tableStyle>
    <tableStyle name="Sheet6-style 2" pivot="0" count="4">
      <tableStyleElement type="headerRow" dxfId="1"/>
      <tableStyleElement type="firstRowStripe" dxfId="2"/>
      <tableStyleElement type="secondRowStripe" dxfId="3"/>
      <tableStyleElement type="wholeTable" size="0" dxfId="4"/>
    </tableStyle>
    <tableStyle name="Number of Publications by Stand-style" pivot="0" count="4">
      <tableStyleElement type="headerRow" dxfId="1"/>
      <tableStyleElement type="firstRowStripe" dxfId="2"/>
      <tableStyleElement type="secondRowStripe" dxfId="3"/>
      <tableStyleElement type="wholeTable" size="0" dxfId="4"/>
    </tableStyle>
    <tableStyle name="Number of Publications by Stand-style 2" pivot="0" count="4">
      <tableStyleElement type="headerRow" dxfId="1"/>
      <tableStyleElement type="firstRowStripe" dxfId="2"/>
      <tableStyleElement type="secondRowStripe" dxfId="3"/>
      <tableStyleElement type="wholeTable" size="0" dxfId="4"/>
    </tableStyle>
    <tableStyle name=" Top Datasets by Weighted Contr-style" pivot="0" count="4">
      <tableStyleElement type="headerRow" dxfId="1"/>
      <tableStyleElement type="firstRowStripe" dxfId="2"/>
      <tableStyleElement type="secondRowStripe" dxfId="3"/>
      <tableStyleElement type="wholeTable" size="0" dxfId="4"/>
    </tableStyle>
    <tableStyle name=" Weighted Evidence Distribution-style" pivot="0" count="4">
      <tableStyleElement type="headerRow" dxfId="1"/>
      <tableStyleElement type="firstRowStripe" dxfId="2"/>
      <tableStyleElement type="secondRowStripe" dxfId="3"/>
      <tableStyleElement type="wholeTable" size="0" dxfId="4"/>
    </tableStyle>
    <tableStyle name=" Weighted Contribution of Model-style" pivot="0" count="4">
      <tableStyleElement type="headerRow" dxfId="1"/>
      <tableStyleElement type="firstRowStripe" dxfId="2"/>
      <tableStyleElement type="secondRowStripe" dxfId="3"/>
      <tableStyleElement type="wholeTable" size="0" dxfId="4"/>
    </tableStyle>
    <tableStyle name=" Model Family Weighted Contribu-style" pivot="0" count="4">
      <tableStyleElement type="headerRow" dxfId="1"/>
      <tableStyleElement type="firstRowStripe" dxfId="2"/>
      <tableStyleElement type="secondRowStripe" dxfId="3"/>
      <tableStyleElement type="wholeTable" size="0" dxfId="4"/>
    </tableStyle>
    <tableStyle name="Sheet9-style" pivot="0" count="4">
      <tableStyleElement type="headerRow" dxfId="1"/>
      <tableStyleElement type="firstRowStripe" dxfId="2"/>
      <tableStyleElement type="secondRowStripe" dxfId="3"/>
      <tableStyleElement type="wholeTable" size="0" dxfId="4"/>
    </tableStyle>
    <tableStyle name="Chart1 Distribution of Model Fa-style" pivot="0" count="4">
      <tableStyleElement type="headerRow" dxfId="1"/>
      <tableStyleElement type="firstRowStripe" dxfId="2"/>
      <tableStyleElement type="secondRowStripe" dxfId="3"/>
      <tableStyleElement type="wholeTable" size="0" dxfId="4"/>
    </tableStyle>
    <tableStyle name="Model Family Weighted Contribut-style" pivot="0" count="4">
      <tableStyleElement type="headerRow" dxfId="1"/>
      <tableStyleElement type="firstRowStripe" dxfId="2"/>
      <tableStyleElement type="secondRowStripe" dxfId="3"/>
      <tableStyleElement type="wholeTable" size="0" dxfId="4"/>
    </tableStyle>
    <tableStyle name="Chart1 Frequency of Explicit Se-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a:solidFill>
                  <a:srgbClr val="444746"/>
                </a:solidFill>
                <a:latin typeface="Roboto"/>
              </a:defRPr>
            </a:pPr>
            <a:r>
              <a:rPr b="1">
                <a:solidFill>
                  <a:srgbClr val="444746"/>
                </a:solidFill>
                <a:latin typeface="Roboto"/>
              </a:rPr>
              <a:t>Year of Publication</a:t>
            </a:r>
          </a:p>
        </rich>
      </tx>
      <overlay val="0"/>
    </title>
    <view3D>
      <rotX val="15"/>
      <rotY val="20"/>
      <rAngAx val="1"/>
    </view3D>
    <plotArea>
      <layout/>
      <bar3DChart>
        <barDir val="col"/>
        <grouping val="clustered"/>
        <ser>
          <idx val="0"/>
          <order val="0"/>
          <tx>
            <strRef>
              <f>Sheet6!$B$6</f>
            </strRef>
          </tx>
          <spPr>
            <a:solidFill xmlns:a="http://schemas.openxmlformats.org/drawingml/2006/main">
              <a:schemeClr val="accent1"/>
            </a:solidFill>
            <a:ln xmlns:a="http://schemas.openxmlformats.org/drawingml/2006/main" cmpd="sng">
              <a:noFill/>
              <a:prstDash val="solid"/>
            </a:ln>
          </spPr>
          <dLbls>
            <numFmt formatCode="General"/>
            <txPr>
              <a:bodyPr xmlns:a="http://schemas.openxmlformats.org/drawingml/2006/main"/>
              <a:lstStyle xmlns:a="http://schemas.openxmlformats.org/drawingml/2006/main"/>
              <a:p xmlns:a="http://schemas.openxmlformats.org/drawingml/2006/main">
                <a:pPr lvl="0">
                  <a:defRPr b="1"/>
                </a:pPr>
                <a:r>
                  <a:t/>
                </a:r>
              </a:p>
            </txPr>
            <showLegendKey val="0"/>
            <showVal val="1"/>
            <showCatName val="0"/>
            <showSerName val="0"/>
            <showPercent val="0"/>
            <showBubbleSize val="0"/>
          </dLbls>
          <cat>
            <strRef>
              <f>Sheet6!$A$7:$A$11</f>
            </strRef>
          </cat>
          <val>
            <numRef>
              <f>Sheet6!$B$7:$B$11</f>
              <numCache/>
            </numRef>
          </val>
        </ser>
        <gapWidth val="150"/>
        <gapDepth val="150"/>
        <axId val="1415492947"/>
        <axId val="981760596"/>
        <axId val="1000"/>
      </bar3DChart>
      <catAx>
        <axId val="1415492947"/>
        <scaling>
          <orientation val="minMax"/>
        </scaling>
        <delete val="0"/>
        <axPos val="b"/>
        <title>
          <tx>
            <rich>
              <a:bodyPr xmlns:a="http://schemas.openxmlformats.org/drawingml/2006/main"/>
              <a:lstStyle xmlns:a="http://schemas.openxmlformats.org/drawingml/2006/main"/>
              <a:p xmlns:a="http://schemas.openxmlformats.org/drawingml/2006/main">
                <a:pPr lvl="0">
                  <a:defRPr b="1">
                    <a:solidFill>
                      <a:srgbClr val="000000"/>
                    </a:solidFill>
                    <a:latin typeface="+mn-lt"/>
                  </a:defRPr>
                </a:pPr>
                <a:r>
                  <a:rPr b="1">
                    <a:solidFill>
                      <a:srgbClr val="000000"/>
                    </a:solidFill>
                    <a:latin typeface="+mn-lt"/>
                  </a:rPr>
                  <a:t>Year</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1">
                <a:solidFill>
                  <a:srgbClr val="000000"/>
                </a:solidFill>
                <a:latin typeface="+mn-lt"/>
              </a:defRPr>
            </a:pPr>
            <a:r>
              <a:t/>
            </a:r>
          </a:p>
        </txPr>
        <crossAx val="981760596"/>
        <lblOffset val="100"/>
      </catAx>
      <valAx>
        <axId val="981760596"/>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1">
                    <a:solidFill>
                      <a:srgbClr val="000000"/>
                    </a:solidFill>
                    <a:latin typeface="+mn-lt"/>
                  </a:defRPr>
                </a:pPr>
                <a:r>
                  <a:rPr b="1">
                    <a:solidFill>
                      <a:srgbClr val="000000"/>
                    </a:solidFill>
                    <a:latin typeface="+mn-lt"/>
                  </a:rPr>
                  <a:t>Number of Papers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1">
                <a:solidFill>
                  <a:srgbClr val="000000"/>
                </a:solidFill>
                <a:latin typeface="+mn-lt"/>
              </a:defRPr>
            </a:pPr>
            <a:r>
              <a:t/>
            </a:r>
          </a:p>
        </txPr>
        <crossAx val="1415492947"/>
      </valAx>
      <serAx>
        <axId val="1000"/>
        <scaling>
          <orientation val="minMax"/>
        </scaling>
        <axPos val="l"/>
        <majorTickMark val="none"/>
        <minorTickMark val="none"/>
        <crossAx val="10"/>
      </serAx>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p>
      </txPr>
    </legend>
    <plotVisOnly val="1"/>
    <dispBlanksAs val="gap"/>
  </chart>
  <spPr>
    <a:solidFill xmlns:a="http://schemas.openxmlformats.org/drawingml/2006/main">
      <a:srgbClr val="F0F4F9"/>
    </a:solidFill>
    <a:ln xmlns:a="http://schemas.openxmlformats.org/drawingml/2006/main">
      <a:prstDash val="solid"/>
    </a:ln>
  </spPr>
</chartSpace>
</file>

<file path=xl/charts/chart2.xml><?xml version="1.0" encoding="utf-8"?>
<chartSpace xmlns="http://schemas.openxmlformats.org/drawingml/2006/chart">
  <chart>
    <plotArea>
      <layout/>
      <pie3DChart>
        <varyColors val="1"/>
        <ser>
          <idx val="0"/>
          <order val="0"/>
          <spPr>
            <a:ln xmlns:a="http://schemas.openxmlformats.org/drawingml/2006/main">
              <a:prstDash val="solid"/>
            </a:ln>
          </spPr>
          <dPt>
            <idx val="0"/>
            <spPr>
              <a:solidFill xmlns:a="http://schemas.openxmlformats.org/drawingml/2006/main">
                <a:srgbClr val="4285F4"/>
              </a:solidFill>
              <a:ln xmlns:a="http://schemas.openxmlformats.org/drawingml/2006/main">
                <a:prstDash val="solid"/>
              </a:ln>
            </spPr>
          </dPt>
          <dPt>
            <idx val="1"/>
            <spPr>
              <a:solidFill xmlns:a="http://schemas.openxmlformats.org/drawingml/2006/main">
                <a:srgbClr val="EA4335"/>
              </a:solidFill>
              <a:ln xmlns:a="http://schemas.openxmlformats.org/drawingml/2006/main">
                <a:prstDash val="solid"/>
              </a:ln>
            </spPr>
          </dPt>
          <dPt>
            <idx val="2"/>
            <spPr>
              <a:solidFill xmlns:a="http://schemas.openxmlformats.org/drawingml/2006/main">
                <a:srgbClr val="FBBC04"/>
              </a:solidFill>
              <a:ln xmlns:a="http://schemas.openxmlformats.org/drawingml/2006/main">
                <a:prstDash val="solid"/>
              </a:ln>
            </spPr>
          </dPt>
          <dPt>
            <idx val="3"/>
            <spPr>
              <a:solidFill xmlns:a="http://schemas.openxmlformats.org/drawingml/2006/main">
                <a:srgbClr val="34A853"/>
              </a:solidFill>
              <a:ln xmlns:a="http://schemas.openxmlformats.org/drawingml/2006/main">
                <a:prstDash val="solid"/>
              </a:ln>
            </spPr>
          </dPt>
          <dPt>
            <idx val="4"/>
            <spPr>
              <a:solidFill xmlns:a="http://schemas.openxmlformats.org/drawingml/2006/main">
                <a:srgbClr val="FF6D01"/>
              </a:solidFill>
              <a:ln xmlns:a="http://schemas.openxmlformats.org/drawingml/2006/main">
                <a:prstDash val="solid"/>
              </a:ln>
            </spPr>
          </dPt>
          <dPt>
            <idx val="5"/>
            <spPr>
              <a:solidFill xmlns:a="http://schemas.openxmlformats.org/drawingml/2006/main">
                <a:srgbClr val="46BDC6"/>
              </a:solidFill>
              <a:ln xmlns:a="http://schemas.openxmlformats.org/drawingml/2006/main">
                <a:prstDash val="solid"/>
              </a:ln>
            </spPr>
          </dPt>
          <dLbls>
            <showLegendKey val="0"/>
            <showVal val="1"/>
            <showCatName val="0"/>
            <showSerName val="0"/>
            <showPercent val="0"/>
            <showBubbleSize val="0"/>
            <showLeaderLines val="1"/>
          </dLbls>
          <cat>
            <strRef>
              <f>Sheet6!$H$7:$H$12</f>
            </strRef>
          </cat>
          <val>
            <numRef>
              <f>Sheet6!$I$7:$I$12</f>
              <numCache/>
            </numRef>
          </val>
        </ser>
        <dLbls>
          <showLegendKey val="0"/>
          <showVal val="0"/>
          <showCatName val="0"/>
          <showSerName val="0"/>
          <showPercent val="0"/>
          <showBubbleSize val="0"/>
        </dLbls>
      </pie3DChart>
    </plotArea>
    <legend>
      <legendPos val="r"/>
      <overlay val="0"/>
      <txPr>
        <a:bodyPr xmlns:a="http://schemas.openxmlformats.org/drawingml/2006/main"/>
        <a:lstStyle xmlns:a="http://schemas.openxmlformats.org/drawingml/2006/main"/>
        <a:p xmlns:a="http://schemas.openxmlformats.org/drawingml/2006/main">
          <a:pPr lvl="0">
            <a:defRPr b="1">
              <a:solidFill>
                <a:srgbClr val="1A1A1A"/>
              </a:solidFill>
              <a:latin typeface="Roboto"/>
            </a:defRPr>
          </a:pPr>
          <a:r>
            <a:t/>
          </a:r>
        </a:p>
      </txPr>
    </legend>
    <plotVisOnly val="1"/>
    <dispBlanksAs val="gap"/>
  </chart>
  <spPr>
    <a:solidFill xmlns:a="http://schemas.openxmlformats.org/drawingml/2006/main">
      <a:srgbClr val="F3F3F3"/>
    </a:solidFill>
    <a:ln xmlns:a="http://schemas.openxmlformats.org/drawingml/2006/main">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0">
                <a:solidFill>
                  <a:srgbClr val="444746"/>
                </a:solidFill>
                <a:latin typeface="+mn-lt"/>
              </a:defRPr>
            </a:pPr>
            <a:r>
              <a:rPr b="0">
                <a:solidFill>
                  <a:srgbClr val="444746"/>
                </a:solidFill>
                <a:latin typeface="+mn-lt"/>
              </a:rPr>
              <a:t>Number of Publications by Standardized Journal/Conference</a:t>
            </a:r>
          </a:p>
        </rich>
      </tx>
      <overlay val="0"/>
    </title>
    <plotArea>
      <layout/>
      <barChart>
        <barDir val="col"/>
        <grouping val="clustered"/>
        <ser>
          <idx val="0"/>
          <order val="0"/>
          <tx>
            <strRef>
              <f>'Number of Publications by Stand'!$B$10</f>
            </strRef>
          </tx>
          <spPr>
            <a:solidFill xmlns:a="http://schemas.openxmlformats.org/drawingml/2006/main">
              <a:schemeClr val="accent1"/>
            </a:solidFill>
            <a:ln xmlns:a="http://schemas.openxmlformats.org/drawingml/2006/main" cmpd="sng">
              <a:noFill/>
              <a:prstDash val="solid"/>
            </a:ln>
          </spPr>
          <cat>
            <strRef>
              <f>'Number of Publications by Stand'!$A$11:$A$27</f>
            </strRef>
          </cat>
          <val>
            <numRef>
              <f>'Number of Publications by Stand'!$B$11:$B$27</f>
              <numCache/>
            </numRef>
          </val>
        </ser>
        <gapWidth val="150"/>
        <axId val="1454264288"/>
        <axId val="1708478199"/>
      </barChart>
      <catAx>
        <axId val="145426428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Standardized Journal/Conference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p>
        </txPr>
        <crossAx val="1708478199"/>
        <lblOffset val="100"/>
      </catAx>
      <valAx>
        <axId val="1708478199"/>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Number of Publications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p>
        </txPr>
        <crossAx val="1454264288"/>
      </valAx>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p>
      </txPr>
    </legend>
    <plotVisOnly val="1"/>
    <dispBlanksAs val="gap"/>
  </chart>
  <spPr>
    <a:solidFill xmlns:a="http://schemas.openxmlformats.org/drawingml/2006/main">
      <a:srgbClr val="F0F4F9"/>
    </a:solidFill>
    <a:ln xmlns:a="http://schemas.openxmlformats.org/drawingml/2006/main">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0">
                <a:solidFill>
                  <a:srgbClr val="444746"/>
                </a:solidFill>
                <a:latin typeface="+mn-lt"/>
              </a:defRPr>
            </a:pPr>
            <a:r>
              <a:rPr b="0">
                <a:solidFill>
                  <a:srgbClr val="444746"/>
                </a:solidFill>
                <a:latin typeface="+mn-lt"/>
              </a:rPr>
              <a:t>Top Datasets by Weighted Contribution for Categories C1, C2, and C3</a:t>
            </a:r>
          </a:p>
        </rich>
      </tx>
      <overlay val="0"/>
    </title>
    <plotArea>
      <layout/>
      <barChart>
        <barDir val="bar"/>
        <grouping val="clustered"/>
        <ser>
          <idx val="0"/>
          <order val="0"/>
          <tx>
            <strRef>
              <f>' Top Datasets by Weighted Contr'!$B$3</f>
            </strRef>
          </tx>
          <spPr>
            <a:solidFill xmlns:a="http://schemas.openxmlformats.org/drawingml/2006/main">
              <a:schemeClr val="accent1"/>
            </a:solidFill>
            <a:ln xmlns:a="http://schemas.openxmlformats.org/drawingml/2006/main" cmpd="sng">
              <a:noFill/>
              <a:prstDash val="solid"/>
            </a:ln>
          </spPr>
          <cat>
            <strRef>
              <f>' Top Datasets by Weighted Contr'!$A$4:$A$41</f>
            </strRef>
          </cat>
          <val>
            <numRef>
              <f>' Top Datasets by Weighted Contr'!$B$4:$B$41</f>
              <numCache/>
            </numRef>
          </val>
        </ser>
        <gapWidth val="150"/>
        <axId val="229790846"/>
        <axId val="331045235"/>
      </barChart>
      <catAx>
        <axId val="229790846"/>
        <scaling>
          <orientation val="maxMin"/>
        </scaling>
        <delete val="0"/>
        <axPos val="l"/>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Dataset</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p>
        </txPr>
        <crossAx val="331045235"/>
        <lblOffset val="100"/>
      </catAx>
      <valAx>
        <axId val="331045235"/>
        <scaling>
          <orientation val="minMax"/>
        </scaling>
        <delete val="0"/>
        <axPos val="b"/>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Sum of Final Global Score (Weighted Contribution)</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p>
        </txPr>
        <crossAx val="229790846"/>
        <crosses val="max"/>
      </valAx>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p>
      </txPr>
    </legend>
    <plotVisOnly val="1"/>
    <dispBlanksAs val="gap"/>
  </chart>
  <spPr>
    <a:solidFill xmlns:a="http://schemas.openxmlformats.org/drawingml/2006/main">
      <a:srgbClr val="F0F4F9"/>
    </a:solidFill>
    <a:ln xmlns:a="http://schemas.openxmlformats.org/drawingml/2006/main">
      <a:prstDash val="solid"/>
    </a:ln>
  </spPr>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0">
                <a:solidFill>
                  <a:srgbClr val="444746"/>
                </a:solidFill>
                <a:latin typeface="+mn-lt"/>
              </a:defRPr>
            </a:pPr>
            <a:r>
              <a:rPr b="0">
                <a:solidFill>
                  <a:srgbClr val="444746"/>
                </a:solidFill>
                <a:latin typeface="+mn-lt"/>
              </a:rPr>
              <a:t>Weighted Evidence Distribution by Dataset Size for Categories C1, C2, and C3</a:t>
            </a:r>
          </a:p>
        </rich>
      </tx>
      <overlay val="0"/>
    </title>
    <plotArea>
      <layout/>
      <barChart>
        <barDir val="col"/>
        <grouping val="stacked"/>
        <ser>
          <idx val="0"/>
          <order val="0"/>
          <tx>
            <strRef>
              <f>' Weighted Evidence Distribution'!$B$3</f>
            </strRef>
          </tx>
          <spPr>
            <a:solidFill xmlns:a="http://schemas.openxmlformats.org/drawingml/2006/main">
              <a:schemeClr val="accent1"/>
            </a:solidFill>
            <a:ln xmlns:a="http://schemas.openxmlformats.org/drawingml/2006/main" cmpd="sng">
              <a:noFill/>
              <a:prstDash val="solid"/>
            </a:ln>
          </spPr>
          <cat>
            <strRef>
              <f>' Weighted Evidence Distribution'!$A$4:$A$7</f>
            </strRef>
          </cat>
          <val>
            <numRef>
              <f>' Weighted Evidence Distribution'!$B$4:$B$7</f>
              <numCache/>
            </numRef>
          </val>
        </ser>
        <ser>
          <idx val="1"/>
          <order val="1"/>
          <tx>
            <strRef>
              <f>' Weighted Evidence Distribution'!$C$3</f>
            </strRef>
          </tx>
          <spPr>
            <a:solidFill xmlns:a="http://schemas.openxmlformats.org/drawingml/2006/main">
              <a:schemeClr val="accent2"/>
            </a:solidFill>
            <a:ln xmlns:a="http://schemas.openxmlformats.org/drawingml/2006/main" cmpd="sng">
              <a:noFill/>
              <a:prstDash val="solid"/>
            </a:ln>
          </spPr>
          <cat>
            <strRef>
              <f>' Weighted Evidence Distribution'!$A$4:$A$7</f>
            </strRef>
          </cat>
          <val>
            <numRef>
              <f>' Weighted Evidence Distribution'!$C$4:$C$7</f>
              <numCache/>
            </numRef>
          </val>
        </ser>
        <ser>
          <idx val="2"/>
          <order val="2"/>
          <tx>
            <strRef>
              <f>' Weighted Evidence Distribution'!$D$3</f>
            </strRef>
          </tx>
          <spPr>
            <a:solidFill xmlns:a="http://schemas.openxmlformats.org/drawingml/2006/main">
              <a:schemeClr val="accent3"/>
            </a:solidFill>
            <a:ln xmlns:a="http://schemas.openxmlformats.org/drawingml/2006/main" cmpd="sng">
              <a:noFill/>
              <a:prstDash val="solid"/>
            </a:ln>
          </spPr>
          <cat>
            <strRef>
              <f>' Weighted Evidence Distribution'!$A$4:$A$7</f>
            </strRef>
          </cat>
          <val>
            <numRef>
              <f>' Weighted Evidence Distribution'!$D$4:$D$7</f>
              <numCache/>
            </numRef>
          </val>
        </ser>
        <gapWidth val="150"/>
        <overlap val="100"/>
        <axId val="2039820598"/>
        <axId val="109464230"/>
      </barChart>
      <catAx>
        <axId val="2039820598"/>
        <scaling>
          <orientation val="minMax"/>
        </scaling>
        <delete val="0"/>
        <axPos val="b"/>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Category_Short</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p>
        </txPr>
        <crossAx val="109464230"/>
        <lblOffset val="100"/>
      </catAx>
      <valAx>
        <axId val="109464230"/>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0">
                    <a:solidFill>
                      <a:srgbClr val="000000"/>
                    </a:solidFill>
                    <a:latin typeface="+mn-lt"/>
                  </a:defRPr>
                </a:pPr>
                <a:r>
                  <a:rPr b="0">
                    <a:solidFill>
                      <a:srgbClr val="000000"/>
                    </a:solidFill>
                    <a:latin typeface="+mn-lt"/>
                  </a:rPr>
                  <a:t>Large (&gt;1000), Medium (300-1000), Small (&lt;300)</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p>
        </txPr>
        <crossAx val="2039820598"/>
      </valAx>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p>
      </txPr>
    </legend>
    <plotVisOnly val="1"/>
    <dispBlanksAs val="gap"/>
  </chart>
  <spPr>
    <a:solidFill xmlns:a="http://schemas.openxmlformats.org/drawingml/2006/main">
      <a:srgbClr val="F0F4F9"/>
    </a:solidFill>
    <a:ln xmlns:a="http://schemas.openxmlformats.org/drawingml/2006/main">
      <a:prstDash val="solid"/>
    </a:ln>
  </spPr>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a:solidFill>
                  <a:srgbClr val="757575"/>
                </a:solidFill>
                <a:latin typeface="Roboto"/>
              </a:defRPr>
            </a:pPr>
            <a:r>
              <a:rPr b="1">
                <a:solidFill>
                  <a:srgbClr val="757575"/>
                </a:solidFill>
                <a:latin typeface="Roboto"/>
              </a:rPr>
              <a:t>Weighted Contribution vs. Model Families</a:t>
            </a:r>
          </a:p>
        </rich>
      </tx>
      <overlay val="0"/>
    </title>
    <view3D>
      <rotX val="15"/>
      <rotY val="20"/>
      <rAngAx val="1"/>
    </view3D>
    <plotArea>
      <layout/>
      <bar3DChart>
        <barDir val="bar"/>
        <grouping val="clustered"/>
        <ser>
          <idx val="0"/>
          <order val="0"/>
          <tx>
            <strRef>
              <f>' Weighted Contribution of Model'!$B$3</f>
            </strRef>
          </tx>
          <spPr>
            <a:solidFill xmlns:a="http://schemas.openxmlformats.org/drawingml/2006/main">
              <a:schemeClr val="accent1"/>
            </a:solidFill>
            <a:ln xmlns:a="http://schemas.openxmlformats.org/drawingml/2006/main" cmpd="sng">
              <a:noFill/>
              <a:prstDash val="solid"/>
            </a:ln>
          </spPr>
          <cat>
            <strRef>
              <f>' Weighted Contribution of Model'!$A$4:$A$8</f>
            </strRef>
          </cat>
          <val>
            <numRef>
              <f>' Weighted Contribution of Model'!$B$4:$B$8</f>
              <numCache/>
            </numRef>
          </val>
        </ser>
        <gapWidth val="150"/>
        <gapDepth val="150"/>
        <axId val="1082513330"/>
        <axId val="1465224522"/>
        <axId val="1000"/>
      </bar3DChart>
      <catAx>
        <axId val="1082513330"/>
        <scaling>
          <orientation val="maxMin"/>
        </scaling>
        <delete val="0"/>
        <axPos val="l"/>
        <title>
          <tx>
            <rich>
              <a:bodyPr xmlns:a="http://schemas.openxmlformats.org/drawingml/2006/main"/>
              <a:lstStyle xmlns:a="http://schemas.openxmlformats.org/drawingml/2006/main"/>
              <a:p xmlns:a="http://schemas.openxmlformats.org/drawingml/2006/main">
                <a:pPr lvl="0">
                  <a:defRPr b="1">
                    <a:solidFill>
                      <a:srgbClr val="000000"/>
                    </a:solidFill>
                    <a:latin typeface="+mn-lt"/>
                  </a:defRPr>
                </a:pPr>
                <a:r>
                  <a:rPr b="1">
                    <a:solidFill>
                      <a:srgbClr val="000000"/>
                    </a:solidFill>
                    <a:latin typeface="+mn-lt"/>
                  </a:rPr>
                  <a:t>Model Families</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p>
        </txPr>
        <crossAx val="1465224522"/>
        <lblOffset val="100"/>
      </catAx>
      <valAx>
        <axId val="1465224522"/>
        <scaling>
          <orientation val="minMax"/>
        </scaling>
        <delete val="0"/>
        <axPos val="b"/>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1">
                    <a:solidFill>
                      <a:srgbClr val="000000"/>
                    </a:solidFill>
                    <a:latin typeface="+mn-lt"/>
                  </a:defRPr>
                </a:pPr>
                <a:r>
                  <a:rPr b="1">
                    <a:solidFill>
                      <a:srgbClr val="000000"/>
                    </a:solidFill>
                    <a:latin typeface="+mn-lt"/>
                  </a:rPr>
                  <a:t>Weighted Contribution</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p>
        </txPr>
        <crossAx val="1082513330"/>
        <crosses val="max"/>
      </valAx>
      <serAx>
        <axId val="1000"/>
        <scaling>
          <orientation val="minMax"/>
        </scaling>
        <axPos val="l"/>
        <majorTickMark val="none"/>
        <minorTickMark val="none"/>
        <crossAx val="10"/>
      </serAx>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p>
      </txPr>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a:solidFill>
                  <a:srgbClr val="444746"/>
                </a:solidFill>
                <a:latin typeface="+mn-lt"/>
              </a:defRPr>
            </a:pPr>
            <a:r>
              <a:rPr b="1">
                <a:solidFill>
                  <a:srgbClr val="444746"/>
                </a:solidFill>
                <a:latin typeface="+mn-lt"/>
              </a:rPr>
              <a:t>Model Family Weighted Contribution for C1</a:t>
            </a:r>
          </a:p>
        </rich>
      </tx>
      <overlay val="0"/>
    </title>
    <plotArea>
      <layout/>
      <pie3DChart>
        <varyColors val="1"/>
        <ser>
          <idx val="0"/>
          <order val="0"/>
          <tx>
            <strRef>
              <f>' Model Family Weighted Contribu'!$B$3</f>
            </strRef>
          </tx>
          <spPr>
            <a:ln xmlns:a="http://schemas.openxmlformats.org/drawingml/2006/main">
              <a:prstDash val="solid"/>
            </a:ln>
          </spPr>
          <dPt>
            <idx val="0"/>
            <spPr>
              <a:solidFill xmlns:a="http://schemas.openxmlformats.org/drawingml/2006/main">
                <a:srgbClr val="4285F4"/>
              </a:solidFill>
              <a:ln xmlns:a="http://schemas.openxmlformats.org/drawingml/2006/main">
                <a:prstDash val="solid"/>
              </a:ln>
            </spPr>
          </dPt>
          <dPt>
            <idx val="1"/>
            <spPr>
              <a:solidFill xmlns:a="http://schemas.openxmlformats.org/drawingml/2006/main">
                <a:srgbClr val="EA4335"/>
              </a:solidFill>
              <a:ln xmlns:a="http://schemas.openxmlformats.org/drawingml/2006/main">
                <a:prstDash val="solid"/>
              </a:ln>
            </spPr>
          </dPt>
          <dPt>
            <idx val="2"/>
            <spPr>
              <a:solidFill xmlns:a="http://schemas.openxmlformats.org/drawingml/2006/main">
                <a:srgbClr val="FBBC04"/>
              </a:solidFill>
              <a:ln xmlns:a="http://schemas.openxmlformats.org/drawingml/2006/main">
                <a:prstDash val="solid"/>
              </a:ln>
            </spPr>
          </dPt>
          <dPt>
            <idx val="3"/>
            <spPr>
              <a:solidFill xmlns:a="http://schemas.openxmlformats.org/drawingml/2006/main">
                <a:srgbClr val="34A853"/>
              </a:solidFill>
              <a:ln xmlns:a="http://schemas.openxmlformats.org/drawingml/2006/main">
                <a:prstDash val="solid"/>
              </a:ln>
            </spPr>
          </dPt>
          <dPt>
            <idx val="4"/>
            <spPr>
              <a:solidFill xmlns:a="http://schemas.openxmlformats.org/drawingml/2006/main">
                <a:srgbClr val="FF6D01"/>
              </a:solidFill>
              <a:ln xmlns:a="http://schemas.openxmlformats.org/drawingml/2006/main">
                <a:prstDash val="solid"/>
              </a:ln>
            </spPr>
          </dPt>
          <dLbls>
            <showLegendKey val="0"/>
            <showVal val="0"/>
            <showCatName val="0"/>
            <showSerName val="0"/>
            <showPercent val="1"/>
            <showBubbleSize val="0"/>
            <showLeaderLines val="1"/>
          </dLbls>
          <cat>
            <strRef>
              <f>' Model Family Weighted Contribu'!$A$4:$A$8</f>
            </strRef>
          </cat>
          <val>
            <numRef>
              <f>' Model Family Weighted Contribu'!$B$4:$B$8</f>
              <numCache/>
            </numRef>
          </val>
        </ser>
        <dLbls>
          <showLegendKey val="0"/>
          <showVal val="0"/>
          <showCatName val="0"/>
          <showSerName val="0"/>
          <showPercent val="0"/>
          <showBubbleSize val="0"/>
        </dLbls>
      </pie3DChart>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p>
      </txPr>
    </legend>
    <plotVisOnly val="1"/>
    <dispBlanksAs val="gap"/>
  </chart>
  <spPr>
    <a:solidFill xmlns:a="http://schemas.openxmlformats.org/drawingml/2006/main">
      <a:srgbClr val="EFEFEF"/>
    </a:solidFill>
    <a:ln xmlns:a="http://schemas.openxmlformats.org/drawingml/2006/main">
      <a:prstDash val="solid"/>
    </a:ln>
  </spPr>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a:solidFill>
                  <a:srgbClr val="444746"/>
                </a:solidFill>
                <a:latin typeface="Arial"/>
              </a:defRPr>
            </a:pPr>
            <a:r>
              <a:rPr b="1">
                <a:solidFill>
                  <a:srgbClr val="444746"/>
                </a:solidFill>
                <a:latin typeface="Arial"/>
              </a:rPr>
              <a:t>Model Family Weighted Contribution for C2</a:t>
            </a:r>
          </a:p>
        </rich>
      </tx>
      <overlay val="0"/>
    </title>
    <plotArea>
      <layout/>
      <pie3DChart>
        <varyColors val="1"/>
        <ser>
          <idx val="0"/>
          <order val="0"/>
          <tx>
            <strRef>
              <f>Sheet9!$B$3</f>
            </strRef>
          </tx>
          <spPr>
            <a:ln xmlns:a="http://schemas.openxmlformats.org/drawingml/2006/main">
              <a:prstDash val="solid"/>
            </a:ln>
          </spPr>
          <dPt>
            <idx val="0"/>
            <spPr>
              <a:solidFill xmlns:a="http://schemas.openxmlformats.org/drawingml/2006/main">
                <a:srgbClr val="4285F4"/>
              </a:solidFill>
              <a:ln xmlns:a="http://schemas.openxmlformats.org/drawingml/2006/main">
                <a:prstDash val="solid"/>
              </a:ln>
            </spPr>
          </dPt>
          <dPt>
            <idx val="1"/>
            <spPr>
              <a:solidFill xmlns:a="http://schemas.openxmlformats.org/drawingml/2006/main">
                <a:srgbClr val="EA4335"/>
              </a:solidFill>
              <a:ln xmlns:a="http://schemas.openxmlformats.org/drawingml/2006/main">
                <a:prstDash val="solid"/>
              </a:ln>
            </spPr>
          </dPt>
          <dPt>
            <idx val="2"/>
            <spPr>
              <a:solidFill xmlns:a="http://schemas.openxmlformats.org/drawingml/2006/main">
                <a:srgbClr val="FBBC04"/>
              </a:solidFill>
              <a:ln xmlns:a="http://schemas.openxmlformats.org/drawingml/2006/main">
                <a:prstDash val="solid"/>
              </a:ln>
            </spPr>
          </dPt>
          <dPt>
            <idx val="3"/>
            <spPr>
              <a:solidFill xmlns:a="http://schemas.openxmlformats.org/drawingml/2006/main">
                <a:srgbClr val="34A853"/>
              </a:solidFill>
              <a:ln xmlns:a="http://schemas.openxmlformats.org/drawingml/2006/main">
                <a:prstDash val="solid"/>
              </a:ln>
            </spPr>
          </dPt>
          <dLbls>
            <showLegendKey val="0"/>
            <showVal val="0"/>
            <showCatName val="0"/>
            <showSerName val="0"/>
            <showPercent val="1"/>
            <showBubbleSize val="0"/>
            <showLeaderLines val="1"/>
          </dLbls>
          <cat>
            <strRef>
              <f>Sheet9!$A$4:$A$7</f>
            </strRef>
          </cat>
          <val>
            <numRef>
              <f>Sheet9!$B$4:$B$7</f>
              <numCache/>
            </numRef>
          </val>
        </ser>
        <dLbls>
          <showLegendKey val="0"/>
          <showVal val="0"/>
          <showCatName val="0"/>
          <showSerName val="0"/>
          <showPercent val="0"/>
          <showBubbleSize val="0"/>
        </dLbls>
      </pie3DChart>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Roboto"/>
            </a:defRPr>
          </a:pPr>
          <a:r>
            <a:t/>
          </a:r>
        </a:p>
      </txPr>
    </legend>
    <plotVisOnly val="1"/>
    <dispBlanksAs val="gap"/>
  </chart>
  <spPr>
    <a:solidFill xmlns:a="http://schemas.openxmlformats.org/drawingml/2006/main">
      <a:srgbClr val="F0F4F9"/>
    </a:solidFill>
    <a:ln xmlns:a="http://schemas.openxmlformats.org/drawingml/2006/main">
      <a:prstDash val="solid"/>
    </a:ln>
  </spPr>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a:solidFill>
                  <a:srgbClr val="444746"/>
                </a:solidFill>
                <a:latin typeface="+mn-lt"/>
              </a:defRPr>
            </a:pPr>
            <a:r>
              <a:rPr b="1">
                <a:solidFill>
                  <a:srgbClr val="444746"/>
                </a:solidFill>
                <a:latin typeface="+mn-lt"/>
              </a:rPr>
              <a:t>Model Family Weighted Contribution for C3</a:t>
            </a:r>
          </a:p>
        </rich>
      </tx>
      <overlay val="0"/>
    </title>
    <plotArea>
      <layout/>
      <pie3DChart>
        <varyColors val="1"/>
        <ser>
          <idx val="0"/>
          <order val="0"/>
          <tx>
            <strRef>
              <f>'Model Family Weighted Contribut'!$B$3</f>
            </strRef>
          </tx>
          <spPr>
            <a:ln xmlns:a="http://schemas.openxmlformats.org/drawingml/2006/main">
              <a:prstDash val="solid"/>
            </a:ln>
          </spPr>
          <dPt>
            <idx val="0"/>
            <spPr>
              <a:solidFill xmlns:a="http://schemas.openxmlformats.org/drawingml/2006/main">
                <a:srgbClr val="4285F4"/>
              </a:solidFill>
              <a:ln xmlns:a="http://schemas.openxmlformats.org/drawingml/2006/main">
                <a:prstDash val="solid"/>
              </a:ln>
            </spPr>
          </dPt>
          <dPt>
            <idx val="1"/>
            <spPr>
              <a:solidFill xmlns:a="http://schemas.openxmlformats.org/drawingml/2006/main">
                <a:srgbClr val="EA4335"/>
              </a:solidFill>
              <a:ln xmlns:a="http://schemas.openxmlformats.org/drawingml/2006/main">
                <a:prstDash val="solid"/>
              </a:ln>
            </spPr>
          </dPt>
          <dPt>
            <idx val="2"/>
            <spPr>
              <a:solidFill xmlns:a="http://schemas.openxmlformats.org/drawingml/2006/main">
                <a:srgbClr val="FBBC04"/>
              </a:solidFill>
              <a:ln xmlns:a="http://schemas.openxmlformats.org/drawingml/2006/main">
                <a:prstDash val="solid"/>
              </a:ln>
            </spPr>
          </dPt>
          <dPt>
            <idx val="3"/>
            <spPr>
              <a:solidFill xmlns:a="http://schemas.openxmlformats.org/drawingml/2006/main">
                <a:srgbClr val="34A853"/>
              </a:solidFill>
              <a:ln xmlns:a="http://schemas.openxmlformats.org/drawingml/2006/main">
                <a:prstDash val="solid"/>
              </a:ln>
            </spPr>
          </dPt>
          <dLbls>
            <showLegendKey val="0"/>
            <showVal val="0"/>
            <showCatName val="0"/>
            <showSerName val="0"/>
            <showPercent val="1"/>
            <showBubbleSize val="0"/>
            <showLeaderLines val="1"/>
          </dLbls>
          <cat>
            <strRef>
              <f>'Model Family Weighted Contribut'!$A$4:$A$7</f>
            </strRef>
          </cat>
          <val>
            <numRef>
              <f>'Model Family Weighted Contribut'!$B$4:$B$7</f>
              <numCache/>
            </numRef>
          </val>
        </ser>
        <dLbls>
          <showLegendKey val="0"/>
          <showVal val="0"/>
          <showCatName val="0"/>
          <showSerName val="0"/>
          <showPercent val="0"/>
          <showBubbleSize val="0"/>
        </dLbls>
      </pie3DChart>
    </plotArea>
    <legend>
      <legendPos val="r"/>
      <overlay val="0"/>
      <txPr>
        <a:bodyPr xmlns:a="http://schemas.openxmlformats.org/drawingml/2006/main"/>
        <a:lstStyle xmlns:a="http://schemas.openxmlformats.org/drawingml/2006/main"/>
        <a:p xmlns:a="http://schemas.openxmlformats.org/drawingml/2006/main">
          <a:pPr lvl="0">
            <a:defRPr b="0">
              <a:solidFill>
                <a:srgbClr val="1A1A1A"/>
              </a:solidFill>
              <a:latin typeface="+mn-lt"/>
            </a:defRPr>
          </a:pPr>
          <a:r>
            <a:t/>
          </a:r>
        </a:p>
      </txPr>
    </legend>
    <plotVisOnly val="1"/>
    <dispBlanksAs val="gap"/>
  </chart>
  <spPr>
    <a:solidFill xmlns:a="http://schemas.openxmlformats.org/drawingml/2006/main">
      <a:srgbClr val="F6F8F9"/>
    </a:solidFill>
    <a:ln xmlns:a="http://schemas.openxmlformats.org/drawingml/2006/main">
      <a:prstDash val="solid"/>
    </a:ln>
  </spPr>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a:solidFill>
                  <a:srgbClr val="444746"/>
                </a:solidFill>
                <a:latin typeface="+mn-lt"/>
              </a:defRPr>
            </a:pPr>
            <a:r>
              <a:rPr b="1">
                <a:solidFill>
                  <a:srgbClr val="444746"/>
                </a:solidFill>
                <a:latin typeface="+mn-lt"/>
              </a:rPr>
              <a:t>Distribution of Model Families Used for Object Detection</a:t>
            </a:r>
          </a:p>
        </rich>
      </tx>
      <overlay val="0"/>
    </title>
    <plotArea>
      <layout/>
      <pie3DChart>
        <varyColors val="1"/>
        <ser>
          <idx val="0"/>
          <order val="0"/>
          <tx>
            <strRef>
              <f>'Chart1 Distribution of Model Fa'!$B$3</f>
            </strRef>
          </tx>
          <spPr>
            <a:ln xmlns:a="http://schemas.openxmlformats.org/drawingml/2006/main">
              <a:prstDash val="solid"/>
            </a:ln>
          </spPr>
          <dPt>
            <idx val="0"/>
            <spPr>
              <a:solidFill xmlns:a="http://schemas.openxmlformats.org/drawingml/2006/main">
                <a:srgbClr val="4285F4"/>
              </a:solidFill>
              <a:ln xmlns:a="http://schemas.openxmlformats.org/drawingml/2006/main">
                <a:prstDash val="solid"/>
              </a:ln>
            </spPr>
          </dPt>
          <dPt>
            <idx val="1"/>
            <spPr>
              <a:solidFill xmlns:a="http://schemas.openxmlformats.org/drawingml/2006/main">
                <a:srgbClr val="EA4335"/>
              </a:solidFill>
              <a:ln xmlns:a="http://schemas.openxmlformats.org/drawingml/2006/main">
                <a:prstDash val="solid"/>
              </a:ln>
            </spPr>
          </dPt>
          <dPt>
            <idx val="2"/>
            <spPr>
              <a:solidFill xmlns:a="http://schemas.openxmlformats.org/drawingml/2006/main">
                <a:srgbClr val="FBBC04"/>
              </a:solidFill>
              <a:ln xmlns:a="http://schemas.openxmlformats.org/drawingml/2006/main">
                <a:prstDash val="solid"/>
              </a:ln>
            </spPr>
          </dPt>
          <dPt>
            <idx val="3"/>
            <spPr>
              <a:solidFill xmlns:a="http://schemas.openxmlformats.org/drawingml/2006/main">
                <a:srgbClr val="34A853"/>
              </a:solidFill>
              <a:ln xmlns:a="http://schemas.openxmlformats.org/drawingml/2006/main">
                <a:prstDash val="solid"/>
              </a:ln>
            </spPr>
          </dPt>
          <dPt>
            <idx val="4"/>
            <spPr>
              <a:solidFill xmlns:a="http://schemas.openxmlformats.org/drawingml/2006/main">
                <a:srgbClr val="FF6D01"/>
              </a:solidFill>
              <a:ln xmlns:a="http://schemas.openxmlformats.org/drawingml/2006/main">
                <a:prstDash val="solid"/>
              </a:ln>
            </spPr>
          </dPt>
          <dPt>
            <idx val="5"/>
            <spPr>
              <a:solidFill xmlns:a="http://schemas.openxmlformats.org/drawingml/2006/main">
                <a:srgbClr val="46BDC6"/>
              </a:solidFill>
              <a:ln xmlns:a="http://schemas.openxmlformats.org/drawingml/2006/main">
                <a:prstDash val="solid"/>
              </a:ln>
            </spPr>
          </dPt>
          <dLbls>
            <showLegendKey val="0"/>
            <showVal val="0"/>
            <showCatName val="0"/>
            <showSerName val="0"/>
            <showPercent val="0"/>
            <showBubbleSize val="0"/>
            <showLeaderLines val="1"/>
          </dLbls>
          <cat>
            <strRef>
              <f>'Chart1 Distribution of Model Fa'!$A$4:$A$9</f>
            </strRef>
          </cat>
          <val>
            <numRef>
              <f>'Chart1 Distribution of Model Fa'!$B$4:$B$9</f>
              <numCache/>
            </numRef>
          </val>
        </ser>
        <dLbls>
          <showLegendKey val="0"/>
          <showVal val="0"/>
          <showCatName val="0"/>
          <showSerName val="0"/>
          <showPercent val="0"/>
          <showBubbleSize val="0"/>
        </dLbls>
      </pie3DChart>
    </plotArea>
    <legend>
      <legendPos val="r"/>
      <overlay val="0"/>
      <txPr>
        <a:bodyPr xmlns:a="http://schemas.openxmlformats.org/drawingml/2006/main"/>
        <a:lstStyle xmlns:a="http://schemas.openxmlformats.org/drawingml/2006/main"/>
        <a:p xmlns:a="http://schemas.openxmlformats.org/drawingml/2006/main">
          <a:pPr lvl="0">
            <a:defRPr b="0" i="1">
              <a:solidFill>
                <a:srgbClr val="1A1A1A"/>
              </a:solidFill>
              <a:latin typeface="+mn-lt"/>
            </a:defRPr>
          </a:pPr>
          <a:r>
            <a:t/>
          </a:r>
        </a:p>
      </txPr>
    </legend>
    <plotVisOnly val="1"/>
    <dispBlanksAs val="gap"/>
  </chart>
  <spPr>
    <a:solidFill xmlns:a="http://schemas.openxmlformats.org/drawingml/2006/main">
      <a:srgbClr val="F0F4F9"/>
    </a:solidFill>
    <a:ln xmlns:a="http://schemas.openxmlformats.org/drawingml/2006/main">
      <a:prstDash val="solid"/>
    </a:ln>
  </spPr>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a:solidFill>
                  <a:srgbClr val="444746"/>
                </a:solidFill>
                <a:latin typeface="+mn-lt"/>
              </a:defRPr>
            </a:pPr>
            <a:r>
              <a:rPr b="1">
                <a:solidFill>
                  <a:srgbClr val="444746"/>
                </a:solidFill>
                <a:latin typeface="+mn-lt"/>
              </a:rPr>
              <a:t>Frequency of Explicit Segmentation Model Families</a:t>
            </a:r>
          </a:p>
        </rich>
      </tx>
      <overlay val="0"/>
    </title>
    <plotArea>
      <layout/>
      <barChart>
        <barDir val="col"/>
        <grouping val="stacked"/>
        <ser>
          <idx val="0"/>
          <order val="0"/>
          <tx>
            <strRef>
              <f>'Chart1 Frequency of Explicit Se'!$B$3</f>
            </strRef>
          </tx>
          <spPr>
            <a:solidFill xmlns:a="http://schemas.openxmlformats.org/drawingml/2006/main">
              <a:schemeClr val="accent1"/>
            </a:solidFill>
            <a:ln xmlns:a="http://schemas.openxmlformats.org/drawingml/2006/main" cmpd="sng">
              <a:noFill/>
              <a:prstDash val="solid"/>
            </a:ln>
          </spPr>
          <cat>
            <strRef>
              <f>'Chart1 Frequency of Explicit Se'!$A$4:$A$7</f>
            </strRef>
          </cat>
          <val>
            <numRef>
              <f>'Chart1 Frequency of Explicit Se'!$B$4:$B$7</f>
              <numCache/>
            </numRef>
          </val>
        </ser>
        <ser>
          <idx val="1"/>
          <order val="1"/>
          <tx>
            <strRef>
              <f>'Chart1 Frequency of Explicit Se'!$C$3</f>
            </strRef>
          </tx>
          <spPr>
            <a:solidFill xmlns:a="http://schemas.openxmlformats.org/drawingml/2006/main">
              <a:schemeClr val="accent2"/>
            </a:solidFill>
            <a:ln xmlns:a="http://schemas.openxmlformats.org/drawingml/2006/main" cmpd="sng">
              <a:noFill/>
              <a:prstDash val="solid"/>
            </a:ln>
          </spPr>
          <cat>
            <strRef>
              <f>'Chart1 Frequency of Explicit Se'!$A$4:$A$7</f>
            </strRef>
          </cat>
          <val>
            <numRef>
              <f>'Chart1 Frequency of Explicit Se'!$C$4:$C$7</f>
              <numCache/>
            </numRef>
          </val>
        </ser>
        <ser>
          <idx val="2"/>
          <order val="2"/>
          <tx>
            <strRef>
              <f>'Chart1 Frequency of Explicit Se'!$D$3</f>
            </strRef>
          </tx>
          <spPr>
            <a:solidFill xmlns:a="http://schemas.openxmlformats.org/drawingml/2006/main">
              <a:schemeClr val="accent3"/>
            </a:solidFill>
            <a:ln xmlns:a="http://schemas.openxmlformats.org/drawingml/2006/main" cmpd="sng">
              <a:noFill/>
              <a:prstDash val="solid"/>
            </a:ln>
          </spPr>
          <cat>
            <strRef>
              <f>'Chart1 Frequency of Explicit Se'!$A$4:$A$7</f>
            </strRef>
          </cat>
          <val>
            <numRef>
              <f>'Chart1 Frequency of Explicit Se'!$D$4:$D$7</f>
              <numCache/>
            </numRef>
          </val>
        </ser>
        <ser>
          <idx val="3"/>
          <order val="3"/>
          <tx>
            <strRef>
              <f>'Chart1 Frequency of Explicit Se'!$E$3</f>
            </strRef>
          </tx>
          <spPr>
            <a:solidFill xmlns:a="http://schemas.openxmlformats.org/drawingml/2006/main">
              <a:schemeClr val="accent4"/>
            </a:solidFill>
            <a:ln xmlns:a="http://schemas.openxmlformats.org/drawingml/2006/main" cmpd="sng">
              <a:noFill/>
              <a:prstDash val="solid"/>
            </a:ln>
          </spPr>
          <cat>
            <strRef>
              <f>'Chart1 Frequency of Explicit Se'!$A$4:$A$7</f>
            </strRef>
          </cat>
          <val>
            <numRef>
              <f>'Chart1 Frequency of Explicit Se'!$E$4:$E$7</f>
              <numCache/>
            </numRef>
          </val>
        </ser>
        <gapWidth val="150"/>
        <overlap val="100"/>
        <axId val="698501365"/>
        <axId val="1102238592"/>
      </barChart>
      <catAx>
        <axId val="698501365"/>
        <scaling>
          <orientation val="minMax"/>
        </scaling>
        <delete val="0"/>
        <axPos val="b"/>
        <title>
          <tx>
            <rich>
              <a:bodyPr xmlns:a="http://schemas.openxmlformats.org/drawingml/2006/main"/>
              <a:lstStyle xmlns:a="http://schemas.openxmlformats.org/drawingml/2006/main"/>
              <a:p xmlns:a="http://schemas.openxmlformats.org/drawingml/2006/main">
                <a:pPr lvl="0">
                  <a:defRPr b="1">
                    <a:solidFill>
                      <a:srgbClr val="000000"/>
                    </a:solidFill>
                    <a:latin typeface="+mn-lt"/>
                  </a:defRPr>
                </a:pPr>
                <a:r>
                  <a:rPr b="1">
                    <a:solidFill>
                      <a:srgbClr val="000000"/>
                    </a:solidFill>
                    <a:latin typeface="+mn-lt"/>
                  </a:rPr>
                  <a:t>Model Category</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1">
                <a:solidFill>
                  <a:srgbClr val="000000"/>
                </a:solidFill>
                <a:latin typeface="+mn-lt"/>
              </a:defRPr>
            </a:pPr>
            <a:r>
              <a:t/>
            </a:r>
          </a:p>
        </txPr>
        <crossAx val="1102238592"/>
        <lblOffset val="100"/>
      </catAx>
      <valAx>
        <axId val="1102238592"/>
        <scaling>
          <orientation val="minMax"/>
        </scaling>
        <delete val="0"/>
        <axPos val="l"/>
        <majorGridlines>
          <spPr>
            <a:ln xmlns:a="http://schemas.openxmlformats.org/drawingml/2006/main">
              <a:solidFill>
                <a:srgbClr val="B7B7B7"/>
              </a:solidFill>
              <a:prstDash val="solid"/>
            </a:ln>
          </spPr>
        </majorGridlines>
        <minorGridlines>
          <spPr>
            <a:ln xmlns:a="http://schemas.openxmlformats.org/drawingml/2006/main">
              <a:solidFill>
                <a:srgbClr val="CCCCCC"/>
              </a:solidFill>
              <a:prstDash val="solid"/>
            </a:ln>
          </spPr>
        </minorGridlines>
        <title>
          <tx>
            <rich>
              <a:bodyPr xmlns:a="http://schemas.openxmlformats.org/drawingml/2006/main"/>
              <a:lstStyle xmlns:a="http://schemas.openxmlformats.org/drawingml/2006/main"/>
              <a:p xmlns:a="http://schemas.openxmlformats.org/drawingml/2006/main">
                <a:pPr lvl="0">
                  <a:defRPr b="1" i="1">
                    <a:solidFill>
                      <a:srgbClr val="000000"/>
                    </a:solidFill>
                    <a:latin typeface="+mn-lt"/>
                  </a:defRPr>
                </a:pPr>
                <a:r>
                  <a:rPr b="1" i="1">
                    <a:solidFill>
                      <a:srgbClr val="000000"/>
                    </a:solidFill>
                    <a:latin typeface="+mn-lt"/>
                  </a:rPr>
                  <a:t>Number of Papers</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a:solidFill>
                  <a:srgbClr val="000000"/>
                </a:solidFill>
                <a:latin typeface="+mn-lt"/>
              </a:defRPr>
            </a:pPr>
            <a:r>
              <a:t/>
            </a:r>
          </a:p>
        </txPr>
        <crossAx val="698501365"/>
      </valAx>
    </plotArea>
    <plotVisOnly val="1"/>
    <dispBlanksAs val="gap"/>
  </chart>
  <spPr>
    <a:solidFill xmlns:a="http://schemas.openxmlformats.org/drawingml/2006/main">
      <a:srgbClr val="FFFFFF"/>
    </a:solidFill>
    <a:ln xmlns:a="http://schemas.openxmlformats.org/drawingml/2006/main">
      <a:prstDash val="soli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drawing1.xml><?xml version="1.0" encoding="utf-8"?>
<wsDr xmlns="http://schemas.openxmlformats.org/drawingml/2006/spreadsheetDrawing">
  <oneCellAnchor>
    <from>
      <col>9</col>
      <colOff>180975</colOff>
      <row>83</row>
      <rowOff>142875</rowOff>
    </from>
    <ext cx="9172575" cy="491490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0</col>
      <colOff>0</colOff>
      <row>0</row>
      <rowOff>0</rowOff>
    </from>
    <ext cx="4762500" cy="28575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oneCellAnchor>
    <from>
      <col>7</col>
      <colOff>600075</colOff>
      <row>0</row>
      <rowOff>0</rowOff>
    </from>
    <ext cx="4714875" cy="2790825"/>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oneCellAnchor>
</wsDr>
</file>

<file path=xl/drawings/drawing3.xml><?xml version="1.0" encoding="utf-8"?>
<wsDr xmlns="http://schemas.openxmlformats.org/drawingml/2006/spreadsheetDrawing">
  <oneCellAnchor>
    <from>
      <col>0</col>
      <colOff>0</colOff>
      <row>0</row>
      <rowOff>0</rowOff>
    </from>
    <ext cx="9134475" cy="54864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drawings/drawing4.xml><?xml version="1.0" encoding="utf-8"?>
<wsDr xmlns="http://schemas.openxmlformats.org/drawingml/2006/spreadsheetDrawing">
  <oneCellAnchor>
    <from>
      <col>0</col>
      <colOff>0</colOff>
      <row>0</row>
      <rowOff>0</rowOff>
    </from>
    <ext cx="4762500" cy="28575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drawings/drawing5.xml><?xml version="1.0" encoding="utf-8"?>
<wsDr xmlns="http://schemas.openxmlformats.org/drawingml/2006/spreadsheetDrawing">
  <oneCellAnchor>
    <from>
      <col>0</col>
      <colOff>0</colOff>
      <row>0</row>
      <rowOff>0</rowOff>
    </from>
    <ext cx="4762500" cy="28575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drawings/drawing6.xml><?xml version="1.0" encoding="utf-8"?>
<wsDr xmlns="http://schemas.openxmlformats.org/drawingml/2006/spreadsheetDrawing">
  <oneCellAnchor>
    <from>
      <col>0</col>
      <colOff>0</colOff>
      <row>0</row>
      <rowOff>0</rowOff>
    </from>
    <ext cx="6505575" cy="390525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drawings/drawing7.xml><?xml version="1.0" encoding="utf-8"?>
<wsDr xmlns="http://schemas.openxmlformats.org/drawingml/2006/spreadsheetDrawing">
  <oneCellAnchor>
    <from>
      <col>4</col>
      <colOff>447675</colOff>
      <row>0</row>
      <rowOff>238125</rowOff>
    </from>
    <ext cx="6610350" cy="39719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drawings/drawing8.xml><?xml version="1.0" encoding="utf-8"?>
<wsDr xmlns="http://schemas.openxmlformats.org/drawingml/2006/spreadsheetDrawing">
  <oneCellAnchor>
    <from>
      <col>0</col>
      <colOff>0</colOff>
      <row>0</row>
      <rowOff>0</rowOff>
    </from>
    <ext cx="4762500" cy="28575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drawings/drawing9.xml><?xml version="1.0" encoding="utf-8"?>
<wsDr xmlns="http://schemas.openxmlformats.org/drawingml/2006/spreadsheetDrawing">
  <oneCellAnchor>
    <from>
      <col>0</col>
      <colOff>0</colOff>
      <row>0</row>
      <rowOff>0</rowOff>
    </from>
    <ext cx="6505575" cy="390525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drawings/drawing10.xml><?xml version="1.0" encoding="utf-8"?>
<wsDr xmlns="http://schemas.openxmlformats.org/drawingml/2006/spreadsheetDrawing">
  <oneCellAnchor>
    <from>
      <col>0</col>
      <colOff>0</colOff>
      <row>0</row>
      <rowOff>0</rowOff>
    </from>
    <ext cx="4762500" cy="28575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drawings/drawing11.xml><?xml version="1.0" encoding="utf-8"?>
<wsDr xmlns="http://schemas.openxmlformats.org/drawingml/2006/spreadsheetDrawing">
  <oneCellAnchor>
    <from>
      <col>0</col>
      <colOff>0</colOff>
      <row>0</row>
      <rowOff>0</rowOff>
    </from>
    <ext cx="4762500" cy="28575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tables/table1.xml><?xml version="1.0" encoding="utf-8"?>
<table xmlns="http://schemas.openxmlformats.org/spreadsheetml/2006/main" id="1" name="Number_of_Papers_Published_by_Year" displayName="Number_of_Papers_Published_by_Year" ref="A6:B11" headerRowCount="1">
  <tableColumns count="2">
    <tableColumn id="1" name="Year"/>
    <tableColumn id="2" name="Count"/>
  </tableColumns>
  <tableStyleInfo name="Sheet6-style" showFirstColumn="1" showLastColumn="1" showRowStripes="1" showColumnStripes="0"/>
</table>
</file>

<file path=xl/tables/table2.xml><?xml version="1.0" encoding="utf-8"?>
<table xmlns="http://schemas.openxmlformats.org/spreadsheetml/2006/main" id="2" name="Table2" displayName="Table2" ref="D6:E11" headerRowCount="1">
  <tableColumns count="2">
    <tableColumn id="1" name="Standardized Journal"/>
    <tableColumn id="2" name="Count"/>
  </tableColumns>
  <tableStyleInfo name="Sheet6-style 2" showFirstColumn="1" showLastColumn="1" showRowStripes="1" showColumnStripes="0"/>
</table>
</file>

<file path=xl/tables/table3.xml><?xml version="1.0" encoding="utf-8"?>
<table xmlns="http://schemas.openxmlformats.org/spreadsheetml/2006/main" id="3" name="Table1" displayName="Table1" ref="A3:B8" headerRowCount="1">
  <tableColumns count="2">
    <tableColumn id="1" name="Standardized Journal"/>
    <tableColumn id="2" name="Count"/>
  </tableColumns>
  <tableStyleInfo name="Number of Publications by Stand-style" showFirstColumn="1" showLastColumn="1" showRowStripes="1" showColumnStripes="0"/>
</table>
</file>

<file path=xl/tables/table4.xml><?xml version="1.0" encoding="utf-8"?>
<table xmlns="http://schemas.openxmlformats.org/spreadsheetml/2006/main" id="4" name="Number_of_Publications_by_Standardized_Journal_Conference" displayName="Number_of_Publications_by_Standardized_Journal_Conference" ref="A10:B27" headerRowCount="1">
  <tableColumns count="2">
    <tableColumn id="1" name="Standardized Journal"/>
    <tableColumn id="2" name="Count"/>
  </tableColumns>
  <tableStyleInfo name="Number of Publications by Stand-style 2" showFirstColumn="1" showLastColumn="1" showRowStripes="1" showColumnStripes="0"/>
</table>
</file>

<file path=xl/tables/table5.xml><?xml version="1.0" encoding="utf-8"?>
<table xmlns="http://schemas.openxmlformats.org/spreadsheetml/2006/main" id="5" name="Top_Datasets_by_Weighted_Contribution_for_Categories_C1_C2_and_C3" displayName="Top_Datasets_by_Weighted_Contribution_for_Categories_C1_C2_and_C3" ref="A3:B41" headerRowCount="1">
  <tableColumns count="2">
    <tableColumn id="1" name="Dataset"/>
    <tableColumn id="2" name="Weighted_Contribution_Score"/>
  </tableColumns>
  <tableStyleInfo name=" Top Datasets by Weighted Contr-style" showFirstColumn="1" showLastColumn="1" showRowStripes="1" showColumnStripes="0"/>
</table>
</file>

<file path=xl/tables/table6.xml><?xml version="1.0" encoding="utf-8"?>
<table xmlns="http://schemas.openxmlformats.org/spreadsheetml/2006/main" id="6" name="Weighted_Evidence_Distribution_by_Dataset_Size_for_Categories_C1_C2_and_C3" displayName="Weighted_Evidence_Distribution_by_Dataset_Size_for_Categories_C1_C2_and_C3" ref="A3:D7" headerRowCount="1">
  <tableColumns count="4">
    <tableColumn id="1" name="Category_Short"/>
    <tableColumn id="2" name="Large (&gt;1000)"/>
    <tableColumn id="3" name="Medium (300-1000)"/>
    <tableColumn id="4" name="Small (&lt;300)"/>
  </tableColumns>
  <tableStyleInfo name=" Weighted Evidence Distribution-style" showFirstColumn="1" showLastColumn="1" showRowStripes="1" showColumnStripes="0"/>
</table>
</file>

<file path=xl/tables/table7.xml><?xml version="1.0" encoding="utf-8"?>
<table xmlns="http://schemas.openxmlformats.org/spreadsheetml/2006/main" id="7" name="Weighted_Contribution_of_Model_Families_in_Literature" displayName="Weighted_Contribution_of_Model_Families_in_Literature" ref="A3:B8" headerRowCount="1">
  <tableColumns count="2">
    <tableColumn id="1" name="Model_Families"/>
    <tableColumn id="2" name="Weighted_Contribution"/>
  </tableColumns>
  <tableStyleInfo name=" Weighted Contribution of Model-style" showFirstColumn="1" showLastColumn="1" showRowStripes="1" showColumnStripes="0"/>
</table>
</file>

<file path=xl/tables/table8.xml><?xml version="1.0" encoding="utf-8"?>
<table xmlns="http://schemas.openxmlformats.org/spreadsheetml/2006/main" id="8" name="Model_Family_Weighted_Contribution_for_C1" displayName="Model_Family_Weighted_Contribution_for_C1" ref="A3:B8" headerRowCount="1">
  <tableColumns count="2">
    <tableColumn id="1" name="Model_Families"/>
    <tableColumn id="2" name="Weighted_Contribution"/>
  </tableColumns>
  <tableStyleInfo name=" Model Family Weighted Contribu-style" showFirstColumn="1" showLastColumn="1" showRowStripes="1" showColumnStripes="0"/>
</table>
</file>

<file path=xl/tables/table9.xml><?xml version="1.0" encoding="utf-8"?>
<table xmlns="http://schemas.openxmlformats.org/spreadsheetml/2006/main" id="9" name="Model_Family_Weighted_Contribution_for_C2" displayName="Model_Family_Weighted_Contribution_for_C2" ref="A3:B7" headerRowCount="1">
  <tableColumns count="2">
    <tableColumn id="1" name="Model_Families"/>
    <tableColumn id="2" name="Weighted_Contribution"/>
  </tableColumns>
  <tableStyleInfo name="Sheet9-style" showFirstColumn="1" showLastColumn="1" showRowStripes="1" showColumnStripes="0"/>
</table>
</file>

<file path=xl/tables/table10.xml><?xml version="1.0" encoding="utf-8"?>
<table xmlns="http://schemas.openxmlformats.org/spreadsheetml/2006/main" id="10" name="Model_Family_Weighted_Contribution_for_C3" displayName="Model_Family_Weighted_Contribution_for_C3" ref="A3:B7" headerRowCount="1">
  <tableColumns count="2">
    <tableColumn id="1" name="Model_Families"/>
    <tableColumn id="2" name="Weighted_Contribution"/>
  </tableColumns>
  <tableStyleInfo name="Model Family Weighted Contribut-style" showFirstColumn="1" showLastColumn="1" showRowStripes="1" showColumnStripes="0"/>
</table>
</file>

<file path=xl/tables/table11.xml><?xml version="1.0" encoding="utf-8"?>
<table xmlns="http://schemas.openxmlformats.org/spreadsheetml/2006/main" id="11" name="Distribution_of_Model_Families_Used_for_Object_Detection_Segmentation" displayName="Distribution_of_Model_Families_Used_for_Object_Detection_Segmentation" ref="A3:B9" headerRowCount="1">
  <tableColumns count="2">
    <tableColumn id="1" name="Model_Category"/>
    <tableColumn id="2" name="Count"/>
  </tableColumns>
  <tableStyleInfo name="Chart1 Distribution of Model Fa-style" showFirstColumn="1" showLastColumn="1" showRowStripes="1" showColumnStripes="0"/>
</table>
</file>

<file path=xl/tables/table12.xml><?xml version="1.0" encoding="utf-8"?>
<table xmlns="http://schemas.openxmlformats.org/spreadsheetml/2006/main" id="12" name="Frequency_of_Explicit_Segmentation_Model_Families" displayName="Frequency_of_Explicit_Segmentation_Model_Families" ref="A3:E7" headerRowCount="1">
  <tableColumns count="5">
    <tableColumn id="1" name="Model_Category"/>
    <tableColumn id="2" name="U-Net Family"/>
    <tableColumn id="3" name="YOLO Segmentation"/>
    <tableColumn id="4" name="Other Explicit Segmentation"/>
    <tableColumn id="5" name="R-CNN Segmentation"/>
  </tableColumns>
  <tableStyleInfo name="Chart1 Frequency of Explicit Se-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bmcoralhealth.biomedcentral.com/articles/10.1186/s12903-025-05577-3" TargetMode="External" Id="rId1"/><Relationship Type="http://schemas.openxmlformats.org/officeDocument/2006/relationships/hyperlink" Target="https://ieeexplore.ieee.org/document/11004399" TargetMode="External" Id="rId2"/><Relationship Type="http://schemas.openxmlformats.org/officeDocument/2006/relationships/hyperlink" Target="https://www.frontiersin.org/journals/dental-medicine/articles/10.3389/fdmed.2024.1509361/full" TargetMode="External" Id="rId3"/><Relationship Type="http://schemas.openxmlformats.org/officeDocument/2006/relationships/hyperlink" Target="https://www.mdpi.com/2304-6767/13/8/361" TargetMode="External" Id="rId4"/><Relationship Type="http://schemas.openxmlformats.org/officeDocument/2006/relationships/hyperlink" Target="https://link.springer.com/article/10.1007/s00521-025-11462-5" TargetMode="External" Id="rId5"/><Relationship Type="http://schemas.openxmlformats.org/officeDocument/2006/relationships/hyperlink" Target="https://pmc.ncbi.nlm.nih.gov/articles/PMC10451544/" TargetMode="External" Id="rId6"/><Relationship Type="http://schemas.openxmlformats.org/officeDocument/2006/relationships/hyperlink" Target="https://www.mdpi.com/2076-3417/13/23/12771" TargetMode="External" Id="rId7"/><Relationship Type="http://schemas.openxmlformats.org/officeDocument/2006/relationships/hyperlink" Target="https://doi.org/10.3390/children11060690" TargetMode="External" Id="rId8"/><Relationship Type="http://schemas.openxmlformats.org/officeDocument/2006/relationships/hyperlink" Target="https://www.semanticscholar.org/paper/Automated-Detection-of-Periodontal-Bone-Loss-in-A-Iacob-Fern%C3%A1ndez/0dd1ea4f6f3cb9dfb4c5e2426919198ec4396f29" TargetMode="External" Id="rId9"/><Relationship Type="http://schemas.openxmlformats.org/officeDocument/2006/relationships/hyperlink" Target="https://ieeexplore.ieee.org/stamp/stamp.jsp?tp=&amp;arnumber=11167097&amp;tag=1" TargetMode="External" Id="rId10"/><Relationship Type="http://schemas.openxmlformats.org/officeDocument/2006/relationships/hyperlink" Target="https://consensus.app/papers/artificial-intelligence-for-radiographic-imaging-tartaglia-fabbro/8503f2a38d3055e984b3e208995145cb/" TargetMode="External" Id="rId11"/><Relationship Type="http://schemas.openxmlformats.org/officeDocument/2006/relationships/hyperlink" Target="https://www.semanticscholar.org/paper/DenseNet201-Powered-Dental-Radiograph-A-Deep-for-Kaushik-Sharma/8099215f20823dd1d277be47f740d64e11f98dba" TargetMode="External" Id="rId12"/><Relationship Type="http://schemas.openxmlformats.org/officeDocument/2006/relationships/hyperlink" Target="https://github.com/Binz-Chen/AAAI2024_CariesXrays" TargetMode="External" Id="rId13"/><Relationship Type="http://schemas.openxmlformats.org/officeDocument/2006/relationships/hyperlink" Target="https://doi.org/10.1186/s12903-024-04120-0" TargetMode="External" Id="rId14"/><Relationship Type="http://schemas.openxmlformats.org/officeDocument/2006/relationships/hyperlink" Target="https://doi.org/10.1109/ICICKE65317.2025.11136352" TargetMode="External" Id="rId15"/><Relationship Type="http://schemas.openxmlformats.org/officeDocument/2006/relationships/hyperlink" Target="https://doi.org/10.1177/0022034520972335" TargetMode="External" Id="rId16"/><Relationship Type="http://schemas.openxmlformats.org/officeDocument/2006/relationships/hyperlink" Target="https://link.springer.com/article/10.1186/s13005-025-00496-8" TargetMode="External" Id="rId17"/><Relationship Type="http://schemas.openxmlformats.org/officeDocument/2006/relationships/hyperlink" Target="https://ieeexplore.ieee.org/document/10940169" TargetMode="External" Id="rId18"/><Relationship Type="http://schemas.openxmlformats.org/officeDocument/2006/relationships/hyperlink" Target="https://pmc.ncbi.nlm.nih.gov/articles/PMC12210116/" TargetMode="External" Id="rId19"/><Relationship Type="http://schemas.openxmlformats.org/officeDocument/2006/relationships/hyperlink" Target="https://www.researchgate.net/publication/379305724_Combining_public_datasets_for_automated_tooth_assessment_in_panoramic_radiographs" TargetMode="External" Id="rId20"/><Relationship Type="http://schemas.openxmlformats.org/officeDocument/2006/relationships/hyperlink" Target="https://link.springer.com/article/10.1186/s12903-025-06349-9" TargetMode="External" Id="rId21"/><Relationship Type="http://schemas.openxmlformats.org/officeDocument/2006/relationships/hyperlink" Target="https://www.mdpi.com/2673-4591/87/1/80" TargetMode="External" Id="rId22"/><Relationship Type="http://schemas.openxmlformats.org/officeDocument/2006/relationships/hyperlink" Target="https://academic.oup.com/dmfr/article/54/2/89/7917334" TargetMode="External" Id="rId23"/><Relationship Type="http://schemas.openxmlformats.org/officeDocument/2006/relationships/hyperlink" Target="https://link.springer.com/article/10.1186/s12903-025-05714-y" TargetMode="External" Id="rId24"/><Relationship Type="http://schemas.openxmlformats.org/officeDocument/2006/relationships/hyperlink" Target="https://link.springer.com/article/10.1186/s12903-025-05677-0" TargetMode="External" Id="rId25"/><Relationship Type="http://schemas.openxmlformats.org/officeDocument/2006/relationships/hyperlink" Target="https://link.springer.com/article/10.1186/s12903-023-03819-w" TargetMode="External" Id="rId26"/><Relationship Type="http://schemas.openxmlformats.org/officeDocument/2006/relationships/hyperlink" Target="https://arxiv.org/abs/2506.20522" TargetMode="External" Id="rId27"/><Relationship Type="http://schemas.openxmlformats.org/officeDocument/2006/relationships/hyperlink" Target="https://www.mdpi.com/2306-5354/11/11/1130" TargetMode="External" Id="rId28"/><Relationship Type="http://schemas.openxmlformats.org/officeDocument/2006/relationships/hyperlink" Target="https://jmai.amegroups.org/article/view/9510/pdf" TargetMode="External" Id="rId29"/><Relationship Type="http://schemas.openxmlformats.org/officeDocument/2006/relationships/hyperlink" Target="https://ieeexplore.ieee.org/abstract/document/10703069" TargetMode="External" Id="rId30"/><Relationship Type="http://schemas.openxmlformats.org/officeDocument/2006/relationships/hyperlink" Target="https://pmc.ncbi.nlm.nih.gov/articles/PMC12633937/" TargetMode="External" Id="rId31"/><Relationship Type="http://schemas.openxmlformats.org/officeDocument/2006/relationships/hyperlink" Target="https://www.sciencedirect.com/science/article/pii/S0020653925031612" TargetMode="External" Id="rId32"/><Relationship Type="http://schemas.openxmlformats.org/officeDocument/2006/relationships/hyperlink" Target="https://www.sciencedirect.com/science/article/pii/S0022391325007723" TargetMode="External" Id="rId33"/><Relationship Type="http://schemas.openxmlformats.org/officeDocument/2006/relationships/hyperlink" Target="https://pmc.ncbi.nlm.nih.gov/articles/PMC11300762/" TargetMode="External" Id="rId34"/><Relationship Type="http://schemas.openxmlformats.org/officeDocument/2006/relationships/hyperlink" Target="https://ims.mf.uni-lj.si/wp-content/uploads/sites/14/2024/09/2024-1_1_BizjakRobic.pdf" TargetMode="External" Id="rId35"/><Relationship Type="http://schemas.openxmlformats.org/officeDocument/2006/relationships/hyperlink" Target="https://dl.acm.org/doi/abs/10.1145/3691521.3691522" TargetMode="External" Id="rId36"/><Relationship Type="http://schemas.openxmlformats.org/officeDocument/2006/relationships/hyperlink" Target="https://www.mdpi.com/2227-9067/12/11/1517" TargetMode="External" Id="rId37"/><Relationship Type="http://schemas.openxmlformats.org/officeDocument/2006/relationships/hyperlink" Target="https://www.nature.com/articles/s41598-024-73665-5" TargetMode="External" Id="rId38"/><Relationship Type="http://schemas.openxmlformats.org/officeDocument/2006/relationships/hyperlink" Target="https://academic.oup.com/dmfr/article/53/3/165/7588877" TargetMode="External" Id="rId39"/><Relationship Type="http://schemas.openxmlformats.org/officeDocument/2006/relationships/hyperlink" Target="https://www.mdpi.com/2075-4418/14/20/2336" TargetMode="External" Id="rId40"/><Relationship Type="http://schemas.openxmlformats.org/officeDocument/2006/relationships/hyperlink" Target="https://arxiv.org/abs/2510.20634" TargetMode="External" Id="rId41"/><Relationship Type="http://schemas.openxmlformats.org/officeDocument/2006/relationships/hyperlink" Target="https://ieeexplore.ieee.org/abstract/document/11300717" TargetMode="External" Id="rId42"/><Relationship Type="http://schemas.openxmlformats.org/officeDocument/2006/relationships/hyperlink" Target="https://www.nature.com/articles/s41598-025-16591-4" TargetMode="External" Id="rId43"/><Relationship Type="http://schemas.openxmlformats.org/officeDocument/2006/relationships/hyperlink" Target="https://www.nature.com/articles/s41598-026-36672-2" TargetMode="External" Id="rId44"/><Relationship Type="http://schemas.openxmlformats.org/officeDocument/2006/relationships/hyperlink" Target="http://ieeexplore.ieee.org/abstract/document/10969266" TargetMode="External" Id="rId45"/><Relationship Type="http://schemas.openxmlformats.org/officeDocument/2006/relationships/hyperlink" Target="https://www.sciencedirect.com/science/article/pii/S2352340924011144" TargetMode="External" Id="rId46"/><Relationship Type="http://schemas.openxmlformats.org/officeDocument/2006/relationships/hyperlink" Target="https://link.springer.com/article/10.1007/s00521-025-11730-4" TargetMode="External" Id="rId47"/></Relationships>
</file>

<file path=xl/worksheets/_rels/sheet2.xml.rels><Relationships xmlns="http://schemas.openxmlformats.org/package/2006/relationships"><Relationship Type="http://schemas.openxmlformats.org/officeDocument/2006/relationships/hyperlink" Target="http://s.no/" TargetMode="External" Id="rId1"/><Relationship Type="http://schemas.openxmlformats.org/officeDocument/2006/relationships/hyperlink" Target="https://bmcoralhealth.biomedcentral.com/articles/10.1186/s12903-025-05577-3" TargetMode="External" Id="rId2"/><Relationship Type="http://schemas.openxmlformats.org/officeDocument/2006/relationships/hyperlink" Target="https://ieeexplore.ieee.org/document/11004399" TargetMode="External" Id="rId3"/><Relationship Type="http://schemas.openxmlformats.org/officeDocument/2006/relationships/hyperlink" Target="https://link.springer.com/article/10.1186/s13005-025-00496-8" TargetMode="External" Id="rId4"/><Relationship Type="http://schemas.openxmlformats.org/officeDocument/2006/relationships/hyperlink" Target="https://www.mdpi.com/2227-9067/11/6/690" TargetMode="External" Id="rId5"/><Relationship Type="http://schemas.openxmlformats.org/officeDocument/2006/relationships/hyperlink" Target="https://ieeexplore.ieee.org/document/10940169" TargetMode="External" Id="rId6"/><Relationship Type="http://schemas.openxmlformats.org/officeDocument/2006/relationships/hyperlink" Target="https://pmc.ncbi.nlm.nih.gov/articles/PMC12633937/" TargetMode="External" Id="rId7"/><Relationship Type="http://schemas.openxmlformats.org/officeDocument/2006/relationships/hyperlink" Target="https://www.sciencedirect.com/science/article/pii/S0022391325007723" TargetMode="External" Id="rId8"/><Relationship Type="http://schemas.openxmlformats.org/officeDocument/2006/relationships/hyperlink" Target="https://pmc.ncbi.nlm.nih.gov/articles/PMC11300762/" TargetMode="External" Id="rId9"/><Relationship Type="http://schemas.openxmlformats.org/officeDocument/2006/relationships/hyperlink" Target="https://ims.mf.uni-lj.si/wp-content/uploads/sites/14/2024/09/2024-1_1_BizjakRobic.pdf" TargetMode="External" Id="rId10"/><Relationship Type="http://schemas.openxmlformats.org/officeDocument/2006/relationships/hyperlink" Target="https://dl.acm.org/doi/abs/10.1145/3691521.3691522" TargetMode="External" Id="rId11"/><Relationship Type="http://schemas.openxmlformats.org/officeDocument/2006/relationships/hyperlink" Target="https://www.nature.com/articles/s41598-025-16591-4" TargetMode="External" Id="rId12"/><Relationship Type="http://schemas.openxmlformats.org/officeDocument/2006/relationships/hyperlink" Target="https://link.springer.com/article/10.1007/s00521-025-11730-4" TargetMode="External" Id="rId13"/><Relationship Type="http://schemas.openxmlformats.org/officeDocument/2006/relationships/hyperlink" Target="https://www.frontiersin.org/journals/dental-medicine/articles/10.3389/fdmed.2024.1509361/full" TargetMode="External" Id="rId14"/><Relationship Type="http://schemas.openxmlformats.org/officeDocument/2006/relationships/hyperlink" Target="https://www.mdpi.com/2304-6767/13/8/361" TargetMode="External" Id="rId15"/><Relationship Type="http://schemas.openxmlformats.org/officeDocument/2006/relationships/hyperlink" Target="https://www.semanticscholar.org/paper/Automated-Detection-of-Periodontal-Bone-Loss-in-A-Iacob-Fern%C3%A1ndez/0dd1ea4f6f3cb9dfb4c5e2426919198ec4396f29" TargetMode="External" Id="rId16"/><Relationship Type="http://schemas.openxmlformats.org/officeDocument/2006/relationships/hyperlink" Target="https://www.mdpi.com/2673-4591/87/1/80" TargetMode="External" Id="rId17"/><Relationship Type="http://schemas.openxmlformats.org/officeDocument/2006/relationships/hyperlink" Target="https://academic.oup.com/dmfr/article/54/2/89/7917334" TargetMode="External" Id="rId18"/><Relationship Type="http://schemas.openxmlformats.org/officeDocument/2006/relationships/hyperlink" Target="https://link.springer.com/article/10.1186/s12903-025-05714-y" TargetMode="External" Id="rId19"/><Relationship Type="http://schemas.openxmlformats.org/officeDocument/2006/relationships/hyperlink" Target="https://link.springer.com/article/10.1186/s12903-025-05677-0" TargetMode="External" Id="rId20"/><Relationship Type="http://schemas.openxmlformats.org/officeDocument/2006/relationships/hyperlink" Target="https://link.springer.com/article/10.1186/s12903-023-03819-w" TargetMode="External" Id="rId21"/><Relationship Type="http://schemas.openxmlformats.org/officeDocument/2006/relationships/hyperlink" Target="https://arxiv.org/abs/2506.20522" TargetMode="External" Id="rId22"/><Relationship Type="http://schemas.openxmlformats.org/officeDocument/2006/relationships/hyperlink" Target="https://www.mdpi.com/2306-5354/11/11/1130" TargetMode="External" Id="rId23"/><Relationship Type="http://schemas.openxmlformats.org/officeDocument/2006/relationships/hyperlink" Target="https://jmai.amegroups.org/article/view/9510/pdf" TargetMode="External" Id="rId24"/><Relationship Type="http://schemas.openxmlformats.org/officeDocument/2006/relationships/hyperlink" Target="https://ieeexplore.ieee.org/abstract/document/10703069" TargetMode="External" Id="rId25"/><Relationship Type="http://schemas.openxmlformats.org/officeDocument/2006/relationships/hyperlink" Target="https://www.mdpi.com/2227-9067/12/11/1517" TargetMode="External" Id="rId26"/><Relationship Type="http://schemas.openxmlformats.org/officeDocument/2006/relationships/hyperlink" Target="https://www.nature.com/articles/s41598-024-73665-5" TargetMode="External" Id="rId27"/><Relationship Type="http://schemas.openxmlformats.org/officeDocument/2006/relationships/hyperlink" Target="https://onlinelibrary.wiley.com/doi/abs/10.1111/odi.15269" TargetMode="External" Id="rId28"/><Relationship Type="http://schemas.openxmlformats.org/officeDocument/2006/relationships/hyperlink" Target="https://www.sciencedirect.com/science/article/abs/pii/S0030399225009855" TargetMode="External" Id="rId29"/><Relationship Type="http://schemas.openxmlformats.org/officeDocument/2006/relationships/hyperlink" Target="https://www.sciencedirect.com/science/article/abs/pii/S0957417424013125" TargetMode="External" Id="rId30"/><Relationship Type="http://schemas.openxmlformats.org/officeDocument/2006/relationships/hyperlink" Target="https://link.springer.com/article/10.1007/s00521-025-11462-5" TargetMode="External" Id="rId31"/><Relationship Type="http://schemas.openxmlformats.org/officeDocument/2006/relationships/hyperlink" Target="https://pmc.ncbi.nlm.nih.gov/articles/PMC10451544/" TargetMode="External" Id="rId32"/><Relationship Type="http://schemas.openxmlformats.org/officeDocument/2006/relationships/hyperlink" Target="https://www.nature.com/articles/s41598-026-36672-2" TargetMode="External" Id="rId33"/><Relationship Type="http://schemas.openxmlformats.org/officeDocument/2006/relationships/hyperlink" Target="https://ieeexplore.ieee.org/stamp/stamp.jsp?tp=&amp;arnumber=11167097&amp;tag=1" TargetMode="External" Id="rId34"/><Relationship Type="http://schemas.openxmlformats.org/officeDocument/2006/relationships/hyperlink" Target="https://www.mdpi.com/2075-4418/14/20/2336" TargetMode="External" Id="rId35"/><Relationship Type="http://schemas.openxmlformats.org/officeDocument/2006/relationships/hyperlink" Target="https://www.researchgate.net/publication/379305724_Combining_public_datasets_for_automated_tooth_assessment_in_panoramic_radiographs" TargetMode="External" Id="rId36"/><Relationship Type="http://schemas.openxmlformats.org/officeDocument/2006/relationships/hyperlink" Target="https://pmc.ncbi.nlm.nih.gov/articles/PMC12210116/" TargetMode="External" Id="rId37"/><Relationship Type="http://schemas.openxmlformats.org/officeDocument/2006/relationships/hyperlink" Target="https://www.sciencedirect.com/science/article/pii/S0020653925031612" TargetMode="External" Id="rId38"/><Relationship Type="http://schemas.openxmlformats.org/officeDocument/2006/relationships/hyperlink" Target="https://academic.oup.com/dmfr/article/53/3/165/7588877" TargetMode="External" Id="rId39"/><Relationship Type="http://schemas.openxmlformats.org/officeDocument/2006/relationships/hyperlink" Target="https://link.springer.com/article/10.1007/s11282-025-00891-6" TargetMode="External" Id="rId40"/><Relationship Type="http://schemas.openxmlformats.org/officeDocument/2006/relationships/hyperlink" Target="https://arxiv.org/abs/2510.20634" TargetMode="External" Id="rId41"/><Relationship Type="http://schemas.openxmlformats.org/officeDocument/2006/relationships/hyperlink" Target="https://link.springer.com/article/10.1186/s12903-025-06349-9" TargetMode="External" Id="rId42"/><Relationship Type="http://schemas.openxmlformats.org/officeDocument/2006/relationships/hyperlink" Target="https://ieeexplore.ieee.org/abstract/document/11300717" TargetMode="External" Id="rId43"/><Relationship Type="http://schemas.openxmlformats.org/officeDocument/2006/relationships/hyperlink" Target="http://ieeexplore.ieee.org/abstract/document/10969266" TargetMode="External" Id="rId44"/><Relationship Type="http://schemas.openxmlformats.org/officeDocument/2006/relationships/hyperlink" Target="https://www.sciencedirect.com/science/article/pii/S2352340924011144" TargetMode="External" Id="rId45"/><Relationship Type="http://schemas.openxmlformats.org/officeDocument/2006/relationships/drawing" Target="/xl/drawings/drawing1.xml" Id="rId46"/></Relationships>
</file>

<file path=xl/worksheets/_rels/sheet3.xml.rels><Relationships xmlns="http://schemas.openxmlformats.org/package/2006/relationships"><Relationship Type="http://schemas.openxmlformats.org/officeDocument/2006/relationships/hyperlink" Target="https://bmcoralhealth.biomedcentral.com/articles/10.1186/s12903-025-05577-3" TargetMode="External" Id="rId1"/><Relationship Type="http://schemas.openxmlformats.org/officeDocument/2006/relationships/hyperlink" Target="https://ieeexplore.ieee.org/document/11004399" TargetMode="External" Id="rId2"/><Relationship Type="http://schemas.openxmlformats.org/officeDocument/2006/relationships/hyperlink" Target="https://www.frontiersin.org/journals/dental-medicine/articles/10.3389/fdmed.2024.1509361/full" TargetMode="External" Id="rId3"/><Relationship Type="http://schemas.openxmlformats.org/officeDocument/2006/relationships/hyperlink" Target="https://www.mdpi.com/2304-6767/13/8/361" TargetMode="External" Id="rId4"/><Relationship Type="http://schemas.openxmlformats.org/officeDocument/2006/relationships/hyperlink" Target="https://link.springer.com/article/10.1007/s00521-025-11462-5" TargetMode="External" Id="rId5"/><Relationship Type="http://schemas.openxmlformats.org/officeDocument/2006/relationships/hyperlink" Target="https://pmc.ncbi.nlm.nih.gov/articles/PMC10451544/" TargetMode="External" Id="rId6"/><Relationship Type="http://schemas.openxmlformats.org/officeDocument/2006/relationships/hyperlink" Target="https://www.mdpi.com/2076-3417/13/23/12771" TargetMode="External" Id="rId7"/><Relationship Type="http://schemas.openxmlformats.org/officeDocument/2006/relationships/hyperlink" Target="https://doi.org/10.3390/children11060690" TargetMode="External" Id="rId8"/><Relationship Type="http://schemas.openxmlformats.org/officeDocument/2006/relationships/hyperlink" Target="https://www.semanticscholar.org/paper/Automated-Detection-of-Periodontal-Bone-Loss-in-A-Iacob-Fern%C3%A1ndez/0dd1ea4f6f3cb9dfb4c5e2426919198ec4396f29" TargetMode="External" Id="rId9"/><Relationship Type="http://schemas.openxmlformats.org/officeDocument/2006/relationships/hyperlink" Target="https://ieeexplore.ieee.org/stamp/stamp.jsp?tp=&amp;arnumber=11167097&amp;tag=1" TargetMode="External" Id="rId10"/><Relationship Type="http://schemas.openxmlformats.org/officeDocument/2006/relationships/hyperlink" Target="https://consensus.app/papers/artificial-intelligence-for-radiographic-imaging-tartaglia-fabbro/8503f2a38d3055e984b3e208995145cb/" TargetMode="External" Id="rId11"/><Relationship Type="http://schemas.openxmlformats.org/officeDocument/2006/relationships/hyperlink" Target="https://www.semanticscholar.org/paper/DenseNet201-Powered-Dental-Radiograph-A-Deep-for-Kaushik-Sharma/8099215f20823dd1d277be47f740d64e11f98dba" TargetMode="External" Id="rId12"/><Relationship Type="http://schemas.openxmlformats.org/officeDocument/2006/relationships/hyperlink" Target="https://github.com/Binz-Chen/AAAI2024_CariesXrays" TargetMode="External" Id="rId13"/><Relationship Type="http://schemas.openxmlformats.org/officeDocument/2006/relationships/hyperlink" Target="https://doi.org/10.1186/s12903-024-04120-0" TargetMode="External" Id="rId14"/><Relationship Type="http://schemas.openxmlformats.org/officeDocument/2006/relationships/hyperlink" Target="https://doi.org/10.1109/ICICKE65317.2025.11136352" TargetMode="External" Id="rId15"/><Relationship Type="http://schemas.openxmlformats.org/officeDocument/2006/relationships/hyperlink" Target="https://doi.org/10.1177/0022034520972335" TargetMode="External" Id="rId16"/><Relationship Type="http://schemas.openxmlformats.org/officeDocument/2006/relationships/hyperlink" Target="https://link.springer.com/article/10.1186/s13005-025-00496-8" TargetMode="External" Id="rId17"/><Relationship Type="http://schemas.openxmlformats.org/officeDocument/2006/relationships/hyperlink" Target="https://ieeexplore.ieee.org/document/10940169" TargetMode="External" Id="rId18"/><Relationship Type="http://schemas.openxmlformats.org/officeDocument/2006/relationships/hyperlink" Target="https://pmc.ncbi.nlm.nih.gov/articles/PMC12210116/" TargetMode="External" Id="rId19"/><Relationship Type="http://schemas.openxmlformats.org/officeDocument/2006/relationships/hyperlink" Target="https://www.researchgate.net/publication/379305724_Combining_public_datasets_for_automated_tooth_assessment_in_panoramic_radiographs" TargetMode="External" Id="rId20"/><Relationship Type="http://schemas.openxmlformats.org/officeDocument/2006/relationships/hyperlink" Target="https://link.springer.com/article/10.1186/s12903-025-06349-9" TargetMode="External" Id="rId21"/><Relationship Type="http://schemas.openxmlformats.org/officeDocument/2006/relationships/hyperlink" Target="https://www.mdpi.com/2673-4591/87/1/80" TargetMode="External" Id="rId22"/><Relationship Type="http://schemas.openxmlformats.org/officeDocument/2006/relationships/hyperlink" Target="https://academic.oup.com/dmfr/article/54/2/89/7917334" TargetMode="External" Id="rId23"/><Relationship Type="http://schemas.openxmlformats.org/officeDocument/2006/relationships/hyperlink" Target="https://link.springer.com/article/10.1186/s12903-025-05714-y" TargetMode="External" Id="rId24"/><Relationship Type="http://schemas.openxmlformats.org/officeDocument/2006/relationships/hyperlink" Target="https://link.springer.com/article/10.1186/s12903-025-05677-0" TargetMode="External" Id="rId25"/><Relationship Type="http://schemas.openxmlformats.org/officeDocument/2006/relationships/hyperlink" Target="https://link.springer.com/article/10.1186/s12903-023-03819-w" TargetMode="External" Id="rId26"/><Relationship Type="http://schemas.openxmlformats.org/officeDocument/2006/relationships/hyperlink" Target="https://arxiv.org/abs/2506.20522" TargetMode="External" Id="rId27"/><Relationship Type="http://schemas.openxmlformats.org/officeDocument/2006/relationships/hyperlink" Target="https://www.mdpi.com/2306-5354/11/11/1130" TargetMode="External" Id="rId28"/><Relationship Type="http://schemas.openxmlformats.org/officeDocument/2006/relationships/hyperlink" Target="https://jmai.amegroups.org/article/view/9510/pdf" TargetMode="External" Id="rId29"/><Relationship Type="http://schemas.openxmlformats.org/officeDocument/2006/relationships/hyperlink" Target="https://ieeexplore.ieee.org/abstract/document/10703069" TargetMode="External" Id="rId30"/><Relationship Type="http://schemas.openxmlformats.org/officeDocument/2006/relationships/hyperlink" Target="https://pmc.ncbi.nlm.nih.gov/articles/PMC12633937/" TargetMode="External" Id="rId31"/><Relationship Type="http://schemas.openxmlformats.org/officeDocument/2006/relationships/hyperlink" Target="https://www.sciencedirect.com/science/article/pii/S0020653925031612" TargetMode="External" Id="rId32"/><Relationship Type="http://schemas.openxmlformats.org/officeDocument/2006/relationships/hyperlink" Target="https://www.sciencedirect.com/science/article/pii/S0022391325007723" TargetMode="External" Id="rId33"/><Relationship Type="http://schemas.openxmlformats.org/officeDocument/2006/relationships/hyperlink" Target="https://pmc.ncbi.nlm.nih.gov/articles/PMC11300762/" TargetMode="External" Id="rId34"/><Relationship Type="http://schemas.openxmlformats.org/officeDocument/2006/relationships/hyperlink" Target="https://ims.mf.uni-lj.si/wp-content/uploads/sites/14/2024/09/2024-1_1_BizjakRobic.pdf" TargetMode="External" Id="rId35"/><Relationship Type="http://schemas.openxmlformats.org/officeDocument/2006/relationships/hyperlink" Target="https://dl.acm.org/doi/abs/10.1145/3691521.3691522" TargetMode="External" Id="rId36"/><Relationship Type="http://schemas.openxmlformats.org/officeDocument/2006/relationships/hyperlink" Target="https://www.mdpi.com/2227-9067/12/11/1517" TargetMode="External" Id="rId37"/><Relationship Type="http://schemas.openxmlformats.org/officeDocument/2006/relationships/hyperlink" Target="https://www.nature.com/articles/s41598-024-73665-5" TargetMode="External" Id="rId38"/><Relationship Type="http://schemas.openxmlformats.org/officeDocument/2006/relationships/hyperlink" Target="https://academic.oup.com/dmfr/article/53/3/165/7588877" TargetMode="External" Id="rId39"/><Relationship Type="http://schemas.openxmlformats.org/officeDocument/2006/relationships/hyperlink" Target="https://www.mdpi.com/2075-4418/14/20/2336" TargetMode="External" Id="rId40"/><Relationship Type="http://schemas.openxmlformats.org/officeDocument/2006/relationships/hyperlink" Target="https://arxiv.org/abs/2510.20634" TargetMode="External" Id="rId41"/><Relationship Type="http://schemas.openxmlformats.org/officeDocument/2006/relationships/hyperlink" Target="https://ieeexplore.ieee.org/abstract/document/11300717" TargetMode="External" Id="rId42"/><Relationship Type="http://schemas.openxmlformats.org/officeDocument/2006/relationships/hyperlink" Target="https://www.nature.com/articles/s41598-025-16591-4" TargetMode="External" Id="rId43"/><Relationship Type="http://schemas.openxmlformats.org/officeDocument/2006/relationships/hyperlink" Target="https://www.nature.com/articles/s41598-026-36672-2" TargetMode="External" Id="rId44"/><Relationship Type="http://schemas.openxmlformats.org/officeDocument/2006/relationships/hyperlink" Target="http://ieeexplore.ieee.org/abstract/document/10969266" TargetMode="External" Id="rId45"/><Relationship Type="http://schemas.openxmlformats.org/officeDocument/2006/relationships/hyperlink" Target="https://www.sciencedirect.com/science/article/pii/S2352340924011144" TargetMode="External" Id="rId46"/><Relationship Type="http://schemas.openxmlformats.org/officeDocument/2006/relationships/hyperlink" Target="https://link.springer.com/article/10.1007/s00521-025-11730-4" TargetMode="External" Id="rId47"/></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 Type="http://schemas.openxmlformats.org/officeDocument/2006/relationships/table" Target="/xl/tables/table2.xml" Id="rId3"/></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 Type="http://schemas.openxmlformats.org/officeDocument/2006/relationships/table" Target="/xl/tables/table4.xml" Id="rId3"/></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5.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6.xml" Id="rId2"/></Relationships>
</file>

<file path=xl/worksheets/_rels/sheet8.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7.xml" Id="rId2"/></Relationships>
</file>

<file path=xl/worksheets/_rels/sheet9.xml.rels><Relationships xmlns="http://schemas.openxmlformats.org/package/2006/relationships"><Relationship Type="http://schemas.openxmlformats.org/officeDocument/2006/relationships/drawing" Target="/xl/drawings/drawing7.xml" Id="rId1"/><Relationship Type="http://schemas.openxmlformats.org/officeDocument/2006/relationships/table" Target="/xl/tables/table8.xml" Id="rId2"/></Relationships>
</file>

<file path=xl/worksheets/_rels/sheet10.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9.xml" Id="rId2"/></Relationships>
</file>

<file path=xl/worksheets/_rels/sheet11.xml.rels><Relationships xmlns="http://schemas.openxmlformats.org/package/2006/relationships"><Relationship Type="http://schemas.openxmlformats.org/officeDocument/2006/relationships/drawing" Target="/xl/drawings/drawing9.xml" Id="rId1"/><Relationship Type="http://schemas.openxmlformats.org/officeDocument/2006/relationships/table" Target="/xl/tables/table10.xml" Id="rId2"/></Relationships>
</file>

<file path=xl/worksheets/_rels/sheet12.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1.xml" Id="rId2"/></Relationships>
</file>

<file path=xl/worksheets/_rels/sheet13.xml.rels><Relationships xmlns="http://schemas.openxmlformats.org/package/2006/relationships"><Relationship Type="http://schemas.openxmlformats.org/officeDocument/2006/relationships/drawing" Target="/xl/drawings/drawing11.xml" Id="rId1"/><Relationship Type="http://schemas.openxmlformats.org/officeDocument/2006/relationships/table" Target="/xl/tables/table12.xml" Id="rId2"/></Relationships>
</file>

<file path=xl/worksheets/sheet1.xml><?xml version="1.0" encoding="utf-8"?>
<worksheet xmlns="http://schemas.openxmlformats.org/spreadsheetml/2006/main">
  <sheetPr>
    <outlinePr summaryBelow="0" summaryRight="0"/>
    <pageSetUpPr fitToPage="1"/>
  </sheetPr>
  <dimension ref="A1:AC95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0.38" customWidth="1" style="59" min="2" max="2"/>
    <col width="18.38" customWidth="1" style="59" min="3" max="3"/>
    <col width="20.88" customWidth="1" style="59" min="5" max="5"/>
    <col width="42" customWidth="1" style="59" min="6" max="6"/>
    <col width="28.63" customWidth="1" style="59" min="7" max="7"/>
    <col width="22.63" customWidth="1" style="59" min="8" max="8"/>
    <col width="21.13" customWidth="1" style="59" min="9" max="9"/>
    <col width="18" customWidth="1" style="59" min="10" max="10"/>
    <col width="24" customWidth="1" style="59" min="11" max="11"/>
    <col width="18.38" customWidth="1" style="59" min="12" max="12"/>
    <col width="21.38" customWidth="1" style="59" min="13" max="13"/>
    <col width="30.5" customWidth="1" style="59" min="14" max="17"/>
    <col width="21.25" customWidth="1" style="59" min="18" max="18"/>
    <col width="21.38" customWidth="1" style="59" min="19" max="19"/>
  </cols>
  <sheetData>
    <row r="1">
      <c r="A1" s="1" t="inlineStr">
        <is>
          <t>SNO</t>
        </is>
      </c>
      <c r="B1" s="2" t="inlineStr">
        <is>
          <t>Paper</t>
        </is>
      </c>
      <c r="C1" s="2" t="inlineStr">
        <is>
          <t>Journal/Conference</t>
        </is>
      </c>
      <c r="D1" s="2" t="inlineStr">
        <is>
          <t>Year</t>
        </is>
      </c>
      <c r="E1" s="2" t="inlineStr">
        <is>
          <t>Authors</t>
        </is>
      </c>
      <c r="F1" s="2" t="inlineStr">
        <is>
          <t>Link</t>
        </is>
      </c>
      <c r="G1" s="2" t="inlineStr">
        <is>
          <t>Model</t>
        </is>
      </c>
      <c r="H1" s="2" t="inlineStr">
        <is>
          <t>Dataset</t>
        </is>
      </c>
      <c r="I1" s="2" t="inlineStr">
        <is>
          <t>Dataset Size</t>
        </is>
      </c>
      <c r="J1" s="2" t="inlineStr">
        <is>
          <t>Metric</t>
        </is>
      </c>
      <c r="K1" s="2" t="inlineStr">
        <is>
          <t>Best Result</t>
        </is>
      </c>
      <c r="L1" s="2" t="inlineStr">
        <is>
          <t>Validation</t>
        </is>
      </c>
      <c r="M1" s="2" t="inlineStr">
        <is>
          <t>XAI</t>
        </is>
      </c>
      <c r="N1" s="2" t="inlineStr">
        <is>
          <t>Limitations</t>
        </is>
      </c>
      <c r="O1" s="2" t="inlineStr">
        <is>
          <t>Research Gap</t>
        </is>
      </c>
      <c r="P1" s="2" t="inlineStr">
        <is>
          <t>How Our Project is Better</t>
        </is>
      </c>
      <c r="Q1" s="2" t="inlineStr">
        <is>
          <t>Where Our Project Lags</t>
        </is>
      </c>
      <c r="R1" s="1" t="inlineStr">
        <is>
          <t>Category</t>
        </is>
      </c>
    </row>
    <row r="2" ht="90.75" customHeight="1" s="59">
      <c r="A2" s="35" t="inlineStr">
        <is>
          <t>Paper 1</t>
        </is>
      </c>
      <c r="B2" s="19" t="inlineStr">
        <is>
          <t>Detection of dental caries under fixed dental prostheses by analyzing digital panoramic radiographs with artificial intelligence algorithms based on deep learning methods</t>
        </is>
      </c>
      <c r="C2" s="19" t="inlineStr">
        <is>
          <t xml:space="preserve">BMC Oral Health (Journal),Springer </t>
        </is>
      </c>
      <c r="D2" s="19" t="n">
        <v>2025</v>
      </c>
      <c r="E2" s="19" t="inlineStr">
        <is>
          <t>Betül Ayhan, Enes Ayan, Saadet Atsü</t>
        </is>
      </c>
      <c r="F2" s="13" t="inlineStr">
        <is>
          <t>Detection of dental caries under fixed dental prostheses by analyzing digital panoramic radiographs with artificial intelligence algorithms based on deep learning methods | BMC Oral Health</t>
        </is>
      </c>
      <c r="G2" s="19" t="inlineStr">
        <is>
          <t>YOLOv7; Improved YOLOv7 + CBAM (Convolutional Block Attention Module)</t>
        </is>
      </c>
      <c r="H2" s="19" t="inlineStr">
        <is>
          <t>Private institutional dataset of digital panoramic radiographs of patients with fixed dental prostheses (FDPs)</t>
        </is>
      </c>
      <c r="I2" s="19" t="inlineStr">
        <is>
          <t>Stage 1: 1004 panoramic radiographs (904 train, 100 test). Stage 2 (cropped ROIs): 2467 images (2248 train, 219 test)</t>
        </is>
      </c>
      <c r="J2" s="19" t="inlineStr">
        <is>
          <t>Recall, Precision, mAP, F1-score</t>
        </is>
      </c>
      <c r="K2" s="19" t="inlineStr">
        <is>
          <t>Caries detection with YOLOv7+CBAM: Recall = 0.827, Precision = 0.834, mAP = 0.846, F1 = 0.830</t>
        </is>
      </c>
      <c r="L2" s="19" t="inlineStr">
        <is>
          <t>Hold-out split (90% train / 10% test). No cross-validation. Single-center retrospective dataset</t>
        </is>
      </c>
      <c r="M2" s="19" t="inlineStr">
        <is>
          <t>Not reported in paper</t>
        </is>
      </c>
      <c r="N2" s="19" t="inlineStr">
        <is>
          <t>Only panoramic radiographs used; bitewing radiographs excluded; performance still insufficient for direct clinical practice; dataset not publicly available; limited generalizability; no multimodal data; no external clinical validation</t>
        </is>
      </c>
      <c r="O2" s="19" t="inlineStr">
        <is>
          <t>Authors state need for multimodal datasets (panoramic + bitewing), diverse imaging devices, integration of patient-specific factors, and external clinical validation to improve generalizability and diagnostic reliability</t>
        </is>
      </c>
      <c r="P2" s="19" t="inlineStr">
        <is>
          <t>Our system is multi-task (detection + segmentation + prognosis) whereas this is single-task (caries under FDP detection only); uses modern YOLOv8 vs YOLOv7; includes periodontal segmentation and bone loss estimation; provides structured diagnostic summaries; includes XAI (Grad-CAM/attention maps) while this paper has none; designed as multi-disease clinical decision support and educational tool</t>
        </is>
      </c>
      <c r="Q2" s="19" t="inlineStr">
        <is>
          <t>Smaller and private dataset compared to potential multi-institutional datasets; lower reported accuracy for some tasks (our targets not yet clinically validated); no clinical trial or real-world dentist evaluation yet; no external validation reported for our system</t>
        </is>
      </c>
      <c r="R2" s="19" t="inlineStr">
        <is>
          <t>C1 – Caries Detection &amp; Severity</t>
        </is>
      </c>
    </row>
    <row r="3">
      <c r="A3" s="35" t="inlineStr">
        <is>
          <t>Paper 2</t>
        </is>
      </c>
      <c r="B3" s="19" t="inlineStr">
        <is>
          <t>AI-Powered Dental Caries Detection</t>
        </is>
      </c>
      <c r="C3" s="19" t="inlineStr">
        <is>
          <t>26th International Multitopic Conference (INMIC), IEEE</t>
        </is>
      </c>
      <c r="D3" s="19" t="n">
        <v>2024</v>
      </c>
      <c r="E3" s="19" t="inlineStr">
        <is>
          <t>Hira Khuwaja, Shehwar Javed, Ahsan Ali Khidri, Rabeea Jaffari</t>
        </is>
      </c>
      <c r="F3" s="18" t="inlineStr">
        <is>
          <t>AI-Powered Dental Caries Detection | IEEE Conference Publication</t>
        </is>
      </c>
      <c r="G3" s="19" t="inlineStr">
        <is>
          <t>YOLOv8, ResNet-50, EfficientDet D1, MobileNet V2</t>
        </is>
      </c>
      <c r="H3" s="19" t="inlineStr">
        <is>
          <t>Dental Mate Caries Detection Dataset (Roboflow public RGB intraoral images)</t>
        </is>
      </c>
      <c r="I3" s="19" t="inlineStr">
        <is>
          <t>7,447 RGB images (5,213 train / 1,415 val / 819 test)</t>
        </is>
      </c>
      <c r="J3" s="19" t="inlineStr">
        <is>
          <t>mAP@[0.50:0.95], mAP@[0.50], Average Recall, Total Loss</t>
        </is>
      </c>
      <c r="K3" s="19" t="inlineStr">
        <is>
          <t>ResNet-50: mAP@[0.50]=0.670, mAP@[0.50:0.95]=0.436, Recall=0.550, Loss=0.251</t>
        </is>
      </c>
      <c r="L3" s="19" t="inlineStr">
        <is>
          <t>Train/Validation/Test split (70% / 19% / 11%), no clinical or external validation</t>
        </is>
      </c>
      <c r="M3" s="19" t="inlineStr">
        <is>
          <t>Not reported in paper</t>
        </is>
      </c>
      <c r="N3" s="19" t="inlineStr">
        <is>
          <t>Uses only smartphone RGB images; no radiographs; limited to single task (caries detection); no clinical validation; no longitudinal or real-world testing</t>
        </is>
      </c>
      <c r="O3" s="19" t="inlineStr">
        <is>
          <t>Authors state need for real-time clinical application, larger datasets across demographics, longitudinal evaluation, ethical and regulatory validation</t>
        </is>
      </c>
      <c r="P3" s="19" t="inlineStr">
        <is>
          <t>Our system uses medical radiographs (OPG &amp; bitewing) instead of RGB photos; supports multi-task diagnosis (caries + periodontal); provides segmentation + severity grading + prognosis; includes explainability (Grad-CAM) and clinical decision support</t>
        </is>
      </c>
      <c r="Q3" s="19" t="inlineStr">
        <is>
          <t>This paper has larger dataset (7,447 images) than our current proposed dataset; includes mobile deployment scenario already tested</t>
        </is>
      </c>
      <c r="R3" s="19" t="inlineStr">
        <is>
          <t>C1 – Caries Detection &amp; Severity</t>
        </is>
      </c>
      <c r="S3" s="19" t="n"/>
      <c r="T3" s="19" t="n"/>
      <c r="U3" s="19" t="n"/>
      <c r="V3" s="19" t="n"/>
      <c r="W3" s="19" t="n"/>
      <c r="X3" s="19" t="n"/>
      <c r="Y3" s="19" t="n"/>
      <c r="Z3" s="19" t="n"/>
      <c r="AA3" s="19" t="n"/>
      <c r="AB3" s="19" t="n"/>
      <c r="AC3" s="19" t="n"/>
    </row>
    <row r="4">
      <c r="A4" s="19" t="inlineStr">
        <is>
          <t>Paper 3</t>
        </is>
      </c>
      <c r="B4" s="19" t="inlineStr">
        <is>
          <t>Advanced AI-assisted panoramic radiograph analysis for periodontal prognostication and alveolar bone loss detection</t>
        </is>
      </c>
      <c r="C4" s="19" t="inlineStr">
        <is>
          <t>Frontiers in Dental Medicine (Journal)</t>
        </is>
      </c>
      <c r="D4" s="19" t="n">
        <v>2025</v>
      </c>
      <c r="E4" s="19" t="inlineStr">
        <is>
          <t>Jarupat Jundaeng, Rapeeporn Chamchong, Choosak Nithikathkul</t>
        </is>
      </c>
      <c r="F4" s="18" t="inlineStr">
        <is>
          <t xml:space="preserve"> Advanced AI-Assisted Panoramic Radiograph Analysis for Periodontal           Prognostication and Alveolar Bone Loss Detection </t>
        </is>
      </c>
      <c r="G4" s="19" t="inlineStr">
        <is>
          <t>YOLOv8-based CNN (two models: teeth segmentation model; CEJ &amp; alveolar bone level segmentation model)</t>
        </is>
      </c>
      <c r="H4" s="19" t="inlineStr">
        <is>
          <t>Private clinical panoramic radiographs from Fang Hospital, Thailand (SIDEXIS Next Generation, Sirona)</t>
        </is>
      </c>
      <c r="I4" s="19" t="inlineStr">
        <is>
          <t>2,000 panoramic radiographs (70% train / 10% val / 20% test)</t>
        </is>
      </c>
      <c r="J4" s="19" t="inlineStr">
        <is>
          <t>Precision, Recall, F1-score, Accuracy, mAP50</t>
        </is>
      </c>
      <c r="K4" s="19" t="inlineStr">
        <is>
          <t>CEJ &amp; bone level segmentation: Accuracy = 0.98, Sensitivity = 1.0, Specificity = 0.98, F1 = 0.90, mAP50 = 0.995</t>
        </is>
      </c>
      <c r="L4" s="19" t="inlineStr">
        <is>
          <t>Internal hold-out validation using confusion matrix; no external multi-center validation</t>
        </is>
      </c>
      <c r="M4" s="19" t="inlineStr">
        <is>
          <t>Not reported in paper</t>
        </is>
      </c>
      <c r="N4" s="19" t="inlineStr">
        <is>
          <t>Single-center dataset; only high-quality panoramic images; no other X-ray devices; low-quality or rare morphologies excluded; no multi-center or cross-device validation</t>
        </is>
      </c>
      <c r="O4" s="19" t="inlineStr">
        <is>
          <t>Authors state need for multi-center validation, integration of other imaging modalities, real-time clinical deployment, handling suboptimal images</t>
        </is>
      </c>
      <c r="P4" s="19" t="inlineStr">
        <is>
          <t>Our system integrates caries detection + periodontal segmentation + severity grading + prognosis; includes bitewing + panoramic; uses multi-model ensemble (YOLOv8 + U-Net); provides AI-generated structured diagnostic summaries and Grad-CAM explainability, whereas this paper only covers periodontal bone loss</t>
        </is>
      </c>
      <c r="Q4" s="19" t="inlineStr">
        <is>
          <t>This paper has real hospital data (2,000 cases) with ethical approval and clinical deployment context; our system currently lacks institutional clinical dataset and IRB validation</t>
        </is>
      </c>
      <c r="R4" s="19" t="inlineStr">
        <is>
          <t>C2 – Periodontal Disease &amp; Bone Loss</t>
        </is>
      </c>
      <c r="S4" s="19" t="n"/>
      <c r="T4" s="19" t="n"/>
      <c r="U4" s="19" t="n"/>
      <c r="V4" s="19" t="n"/>
      <c r="W4" s="19" t="n"/>
      <c r="X4" s="19" t="n"/>
      <c r="Y4" s="19" t="n"/>
      <c r="Z4" s="19" t="n"/>
      <c r="AA4" s="19" t="n"/>
      <c r="AB4" s="19" t="n"/>
      <c r="AC4" s="19" t="n"/>
    </row>
    <row r="5">
      <c r="A5" s="19" t="inlineStr">
        <is>
          <t>Paper 4</t>
        </is>
      </c>
      <c r="B5" s="19" t="inlineStr">
        <is>
          <t>The 2018 Classification of Periodontitis: Challenges from Clinical Perspective</t>
        </is>
      </c>
      <c r="C5" s="19" t="inlineStr">
        <is>
          <t>Dentistry Journal (MDPI)</t>
        </is>
      </c>
      <c r="D5" s="19" t="n">
        <v>2025</v>
      </c>
      <c r="E5" s="19" t="inlineStr">
        <is>
          <t>Marek Chmielewski, Andrea Pilloni, Alessandro Cuozzo, Giuseppe D’Albis, Gerarda D’Elia, Piero Papi, Lorenzo Marini</t>
        </is>
      </c>
      <c r="F5" s="18" t="inlineStr">
        <is>
          <t>The 2018 Classification of Periodontitis: Challenges from Clinical Perspective</t>
        </is>
      </c>
      <c r="G5" s="19" t="inlineStr">
        <is>
          <t>Not reported in paper (clinical narrative review; no ML model proposed)</t>
        </is>
      </c>
      <c r="H5" s="19" t="inlineStr">
        <is>
          <t>11 previously published clinical studies on 2018 AAP/EFP classification</t>
        </is>
      </c>
      <c r="I5" s="19" t="inlineStr">
        <is>
          <t>459 clinical periodontal cases; 852 examiners; 31 gold-standard examiners</t>
        </is>
      </c>
      <c r="J5" s="19" t="inlineStr">
        <is>
          <t>Diagnostic accuracy (%), Inter-examiner agreement (kappa), Intra-examiner agreement (kappa/ICC)</t>
        </is>
      </c>
      <c r="K5" s="19" t="inlineStr">
        <is>
          <t>Highest reported: Raza et al. 2024 – Stage accuracy 90%, Extent 100%, Grade 100%</t>
        </is>
      </c>
      <c r="L5" s="19" t="inlineStr">
        <is>
          <t>Comparison with gold-standard examiners across studies; no external validation dataset</t>
        </is>
      </c>
      <c r="M5" s="19" t="inlineStr">
        <is>
          <t>Not reported in paper</t>
        </is>
      </c>
      <c r="N5" s="19" t="inlineStr">
        <is>
          <t>Narrative review (not systematic); heterogeneity of included studies; no new primary data; no direct AI system evaluated</t>
        </is>
      </c>
      <c r="O5" s="19" t="inlineStr">
        <is>
          <t>Authors explicitly state need for AI-assisted diagnostic tools for automated radiographic bone loss analysis and periodontal staging to reduce subjectivity and improve consistency</t>
        </is>
      </c>
      <c r="P5" s="19" t="inlineStr">
        <is>
          <t>Our system provides fully automated AI-based periodontal bone loss detection and staging, whereas this paper only analyzes human diagnostic variability; we offer image-based objective assessment, multi-task learning, and real-time decision support</t>
        </is>
      </c>
      <c r="Q5" s="19" t="inlineStr">
        <is>
          <t>This paper is based on real multi-center clinical studies with expert examiners; our project currently lacks such large-scale human benchmarking and examiner agreement analysis</t>
        </is>
      </c>
      <c r="R5" s="19" t="inlineStr">
        <is>
          <t>C2 – Periodontal Disease &amp; Bone Loss</t>
        </is>
      </c>
      <c r="S5" s="19" t="inlineStr">
        <is>
          <t>This paper is a clinical narrative review, not an AI system paper — so many AI fields are “Not reported in paper” by definition</t>
        </is>
      </c>
      <c r="T5" s="19" t="n"/>
      <c r="U5" s="19" t="n"/>
      <c r="V5" s="19" t="n"/>
      <c r="W5" s="19" t="n"/>
      <c r="X5" s="19" t="n"/>
      <c r="Y5" s="19" t="n"/>
      <c r="Z5" s="19" t="n"/>
      <c r="AA5" s="19" t="n"/>
      <c r="AB5" s="19" t="n"/>
      <c r="AC5" s="19" t="n"/>
    </row>
    <row r="6">
      <c r="A6" s="19" t="inlineStr">
        <is>
          <t>Paper 5</t>
        </is>
      </c>
      <c r="B6" s="19" t="inlineStr">
        <is>
          <t>YOLO-based panoramic dental X-ray image analysis</t>
        </is>
      </c>
      <c r="C6" s="19" t="inlineStr">
        <is>
          <t>Neural Computing and Applications (Springer)</t>
        </is>
      </c>
      <c r="D6" s="19" t="n">
        <v>2025</v>
      </c>
      <c r="E6" s="19" t="inlineStr">
        <is>
          <t>Khalid Nassiri, Moulay A. Akhloufi</t>
        </is>
      </c>
      <c r="F6" s="18" t="inlineStr">
        <is>
          <t>YOLO-based panoramic dental X-ray image analysis | Neural Computing and Applications | Springer Nature Link</t>
        </is>
      </c>
      <c r="G6" s="19" t="inlineStr">
        <is>
          <t>YOLOv5, YOLOv6, YOLOv7, YOLOv8, YOLOv9 (segmentation variants: YOLOv5-seg, YOLOv7-seg, YOLOv8-seg, YOLOv9-seg)</t>
        </is>
      </c>
      <c r="H6" s="19" t="inlineStr">
        <is>
          <t>DENTEX public panoramic dental X-ray dataset</t>
        </is>
      </c>
      <c r="I6" s="19" t="inlineStr">
        <is>
          <t>Quadrant detection: 693 images; Tooth enumeration: 634 images; Anomaly detection: 1005 images</t>
        </is>
      </c>
      <c r="J6" s="19" t="inlineStr">
        <is>
          <t>Precision, Recall, mAP50, mAP50-95 (for boxes and masks)</t>
        </is>
      </c>
      <c r="K6" s="19" t="inlineStr">
        <is>
          <t>YOLOv9e-seg: Precision(B)=0.968, Recall(B)=0.962, mAP50(B)=0.978, mAP50-95(B)=0.767; Segmentation mAP50(M)=0.959</t>
        </is>
      </c>
      <c r="L6" s="19" t="inlineStr">
        <is>
          <t>Internal train/validation/test splits; no external multi-center clinical validation</t>
        </is>
      </c>
      <c r="M6" s="19" t="inlineStr">
        <is>
          <t>Not reported in paper</t>
        </is>
      </c>
      <c r="N6" s="19" t="inlineStr">
        <is>
          <t>Subtle pathologies difficult to detect; limited disease classification; needs larger and more diverse datasets; no explainability module</t>
        </is>
      </c>
      <c r="O6" s="19" t="inlineStr">
        <is>
          <t>Authors explicitly state need for pathology classification models, larger multi-center datasets, and explainability methods to improve clinician trust</t>
        </is>
      </c>
      <c r="P6" s="19" t="inlineStr">
        <is>
          <t>Our system adds severity grading, periodontal bone loss segmentation, prognosis summarization, multi-disease analysis, and Grad-CAM explainability, whereas this paper focuses on detection + segmentation + enumeration only</t>
        </is>
      </c>
      <c r="Q6" s="19" t="inlineStr">
        <is>
          <t>This paper uses a publicly available annotated dataset (DENTEX) and achieves very high mAP scores; our project currently lacks a standardized public benchmark dataset of similar scale</t>
        </is>
      </c>
      <c r="R6" s="19" t="inlineStr">
        <is>
          <t>C3 – Multi-task / End-to-End OPG Diagnosis</t>
        </is>
      </c>
      <c r="S6" s="19" t="n"/>
      <c r="T6" s="19" t="n"/>
      <c r="U6" s="19" t="n"/>
      <c r="V6" s="19" t="n"/>
      <c r="W6" s="19" t="n"/>
      <c r="X6" s="19" t="n"/>
      <c r="Y6" s="19" t="n"/>
      <c r="Z6" s="19" t="n"/>
      <c r="AA6" s="19" t="n"/>
      <c r="AB6" s="19" t="n"/>
      <c r="AC6" s="19" t="n"/>
    </row>
    <row r="7">
      <c r="A7" s="19" t="inlineStr">
        <is>
          <t>Paper 6</t>
        </is>
      </c>
      <c r="B7" s="19" t="inlineStr">
        <is>
          <t>Deep Learning-Based Recognition of Periodontitis and Dental Caries in Dental X-ray Images</t>
        </is>
      </c>
      <c r="C7" s="19" t="inlineStr">
        <is>
          <t>Bioengineering (MDPI Journal)</t>
        </is>
      </c>
      <c r="D7" s="19" t="n">
        <v>2023</v>
      </c>
      <c r="E7" s="19" t="inlineStr">
        <is>
          <t>Ivane Delos Santos Chen, Chieh-Ming Yang, Mei-Juan Chen, Ming-Chin Chen, Ro-Min Weng, Chia-Hung Yeh</t>
        </is>
      </c>
      <c r="F7" s="18" t="inlineStr">
        <is>
          <t>Deep Learning-Based Recognition of Periodontitis and Dental Caries in Dental X-ray Images - PMC</t>
        </is>
      </c>
      <c r="G7" s="19" t="inlineStr">
        <is>
          <t>YOLOv7 (tooth detection) + EfficientNet-B0 (multi-label CNN classifier); also compared with Xception and MobileNetV2</t>
        </is>
      </c>
      <c r="H7" s="19" t="inlineStr">
        <is>
          <t>Private clinical periapical dental X-ray images from dental clinic in Hualien, Taiwan</t>
        </is>
      </c>
      <c r="I7" s="19" t="inlineStr">
        <is>
          <t>1525 periapical X-rays → 2850 cropped single-tooth images → after augmentation: 11,000 images (8000 train / 2000 val / 1000 test)</t>
        </is>
      </c>
      <c r="J7" s="19" t="inlineStr">
        <is>
          <t>Accuracy, Sensitivity (Recall), Specificity, PPV, NPV, ROC AUC, PR AUC</t>
        </is>
      </c>
      <c r="K7" s="19" t="inlineStr">
        <is>
          <t>EfficientNet-B0: Periodontitis ROC AUC = 98.67%, PR AUC = 98.38%; Dental caries ROC AUC = 98.31%, PR AUC = 97.55%; Tooth detection AP (YOLOv7) = 97.1%</t>
        </is>
      </c>
      <c r="L7" s="19" t="inlineStr">
        <is>
          <t>10-fold cross-validation on internal dataset; no external validation</t>
        </is>
      </c>
      <c r="M7" s="19" t="inlineStr">
        <is>
          <t>Grad-CAM used for visual explanation of classification regions</t>
        </is>
      </c>
      <c r="N7" s="19" t="inlineStr">
        <is>
          <t>Only periapical X-rays; excludes clinical metadata (history, symptoms); single-center dataset; no external or multi-device validation</t>
        </is>
      </c>
      <c r="O7" s="19" t="inlineStr">
        <is>
          <t>Authors explicitly state need to integrate clinical factors with radiographs, and evaluate AI models using both imaging and clinical data to improve diagnostic accuracy</t>
        </is>
      </c>
      <c r="P7" s="19" t="inlineStr">
        <is>
          <t>Our system supports panoramic + bitewing X-rays, performs segmentation + severity grading + bone loss estimation + prognosis, not just classification; provides structured diagnostic summary for clinical decision support</t>
        </is>
      </c>
      <c r="Q7" s="19" t="inlineStr">
        <is>
          <t>This paper has real IRB-approved hospital dataset with expert annotations and high classification accuracy (&gt;98% AUC); our project currently lacks such institutional clinical dataset and cross-validation</t>
        </is>
      </c>
      <c r="R7" s="19" t="inlineStr">
        <is>
          <t>C3 – Multi-task / End-to-End OPG Diagnosis</t>
        </is>
      </c>
      <c r="S7" s="19" t="n"/>
      <c r="T7" s="19" t="n"/>
      <c r="U7" s="19" t="n"/>
      <c r="V7" s="19" t="n"/>
      <c r="W7" s="19" t="n"/>
      <c r="X7" s="19" t="n"/>
      <c r="Y7" s="19" t="n"/>
      <c r="Z7" s="19" t="n"/>
      <c r="AA7" s="19" t="n"/>
      <c r="AB7" s="19" t="n"/>
      <c r="AC7" s="19" t="n"/>
    </row>
    <row r="8">
      <c r="A8" s="19" t="inlineStr">
        <is>
          <t>Paper 7</t>
        </is>
      </c>
      <c r="B8" s="19" t="inlineStr">
        <is>
          <t>Detection of Cavities from Dental Panoramic X-ray Images Using Nested U-Net Models</t>
        </is>
      </c>
      <c r="C8" s="19" t="inlineStr">
        <is>
          <t>Applied Sciences (MDPI Journal)</t>
        </is>
      </c>
      <c r="D8" s="19" t="n">
        <v>2023</v>
      </c>
      <c r="E8" s="19" t="inlineStr">
        <is>
          <t>Shuaa S. Alharbi, Athbah A. AlRugaibah, Haifa F. Alhasson, Rehan Ullah Khan</t>
        </is>
      </c>
      <c r="F8" s="18" t="inlineStr">
        <is>
          <t>Detection of Cavities from Dental Panoramic X-ray Images Using Nested U-Net Models</t>
        </is>
      </c>
      <c r="G8" s="19" t="inlineStr">
        <is>
          <t>U-Net, U-Net++, U-Net3+ (segmentation CNNs)</t>
        </is>
      </c>
      <c r="H8" s="19" t="inlineStr">
        <is>
          <t>DNS Panoramic Images Dataset (Ivisionlab) with newly annotated cavity masks</t>
        </is>
      </c>
      <c r="I8" s="19" t="inlineStr">
        <is>
          <t>1500 panoramic X-rays; only 510 had cavities; cropped dataset: 673 images (after augmentation up to 4432–4908 depending on split)</t>
        </is>
      </c>
      <c r="J8" s="19" t="inlineStr">
        <is>
          <t>IoU, Dice coefficient, Accuracy, MSE</t>
        </is>
      </c>
      <c r="K8" s="19" t="inlineStr">
        <is>
          <t>U-Net3+ (test): IoU = 0.67, Dice = 0.60, Accuracy = 0.95</t>
        </is>
      </c>
      <c r="L8" s="19" t="inlineStr">
        <is>
          <t>Internal train/validation/test splits (various: 80/10/10, 60/40); dentist-annotated ground truth; no external validation</t>
        </is>
      </c>
      <c r="M8" s="19" t="inlineStr">
        <is>
          <t>Not reported in paper</t>
        </is>
      </c>
      <c r="N8" s="19" t="inlineStr">
        <is>
          <t>Limited dataset; only panoramic modality; single-center annotation; shadows and image quality issues; models fail on low-quality panoramic images; no clinical trials</t>
        </is>
      </c>
      <c r="O8" s="19" t="inlineStr">
        <is>
          <t>Authors explicitly state need for multi-modality dental imaging, hypermodels (ensembles), and testing new CNN architectures for better generalization</t>
        </is>
      </c>
      <c r="P8" s="19" t="inlineStr">
        <is>
          <t>Our system performs object detection + severity grading + periodontal segmentation + bone loss + prognosis, whereas this paper only does binary cavity segmentation; we use YOLOv8 + U-Net ensemble, include bitewing images, and provide explainability (Grad-CAM)</t>
        </is>
      </c>
      <c r="Q8" s="19" t="inlineStr">
        <is>
          <t>This paper has expert dentist annotations and reports quantitative segmentation metrics on real clinical images; our system currently lacks dentist-labeled cavity masks and large annotated OPG dataset</t>
        </is>
      </c>
      <c r="R8" s="20" t="inlineStr">
        <is>
          <t>C1 – Caries Detection &amp; Severity</t>
        </is>
      </c>
      <c r="S8" s="19" t="n"/>
      <c r="T8" s="19" t="n"/>
      <c r="U8" s="19" t="n"/>
      <c r="V8" s="19" t="n"/>
      <c r="W8" s="19" t="n"/>
      <c r="X8" s="19" t="n"/>
      <c r="Y8" s="19" t="n"/>
      <c r="Z8" s="19" t="n"/>
      <c r="AA8" s="19" t="n"/>
      <c r="AB8" s="19" t="n"/>
      <c r="AC8" s="19" t="n"/>
    </row>
    <row r="9">
      <c r="A9" s="19" t="inlineStr">
        <is>
          <t>Paper 8</t>
        </is>
      </c>
      <c r="B9" s="19" t="inlineStr">
        <is>
          <t>A Deep Learning Approach to Automatic Tooth Caries Segmentation in Panoramic Radiographs of Children in Primary Dentition, Mixed Dentition, and Permanent Dentition</t>
        </is>
      </c>
      <c r="C9" s="19" t="inlineStr">
        <is>
          <t>Children (MDPI Journal)</t>
        </is>
      </c>
      <c r="D9" s="19" t="n">
        <v>2024</v>
      </c>
      <c r="E9" s="19" t="inlineStr">
        <is>
          <t>Esra Asci, Münevver Kılıç, Özer Çelik, Kenan Cantekin, Hasan Basri Bircan, İbrahim Şevki Bayrakdar, Kaan Orhan</t>
        </is>
      </c>
      <c r="F9" s="18" t="inlineStr">
        <is>
          <t>A Deep Learning Approach to Automatic Tooth Caries Segmentation in Panoramic Radiographs of Children in Primary Dentition, Mixed Dentition, and Permanent Dentition</t>
        </is>
      </c>
      <c r="G9" s="19" t="inlineStr">
        <is>
          <t>U-Net (encoder–decoder CNN, 4 blocks, 32–512 filters)</t>
        </is>
      </c>
      <c r="H9" s="19" t="inlineStr">
        <is>
          <t>Private clinical pediatric panoramic radiographs from Ataturk University archive (Planmeca ProMax 2D)</t>
        </is>
      </c>
      <c r="I9" s="19" t="inlineStr">
        <is>
          <t>6075 panoramic X-rays (Primary: 1857, Mixed: 1406, Permanent: 2812); Total used for final model: 4875 images</t>
        </is>
      </c>
      <c r="J9" s="19" t="inlineStr">
        <is>
          <t>Sensitivity, Precision, F1-score, ROC AUC</t>
        </is>
      </c>
      <c r="K9" s="19" t="inlineStr">
        <is>
          <t>Total dataset: Sensitivity = 0.8269, Precision = 0.9123, F1 = 0.8675, ROC AUC = 0.76</t>
        </is>
      </c>
      <c r="L9" s="19" t="inlineStr">
        <is>
          <t>Internal train/validation/test split; dentist-annotated ground truth; no external validation</t>
        </is>
      </c>
      <c r="M9" s="19" t="inlineStr">
        <is>
          <t>Not reported in paper</t>
        </is>
      </c>
      <c r="N9" s="19" t="inlineStr">
        <is>
          <t>Only panoramic radiographs; no bitewing or CBCT; no cascade network; performance below 90% clinical threshold; no histological confirmation; no comparison with other radiographic methods</t>
        </is>
      </c>
      <c r="O9" s="19" t="inlineStr">
        <is>
          <t>Authors explicitly state need for cascade networks, caries staging, larger datasets, histological confirmation, and comparison with clinical methods</t>
        </is>
      </c>
      <c r="P9" s="19" t="inlineStr">
        <is>
          <t>Our system performs object detection + severity grading + periodontal segmentation + bone loss estimation + prognosis, whereas this paper only does binary caries segmentation; we use YOLOv8 + U-Net ensemble, include bitewing images, and provide Grad-CAM explainability</t>
        </is>
      </c>
      <c r="Q9" s="19" t="inlineStr">
        <is>
          <t>This paper has a large real pediatric clinical dataset (6075 OPGs) with ethical approval and expert annotations; our project currently lacks such large-scale pediatric hospital data</t>
        </is>
      </c>
      <c r="R9" s="19" t="inlineStr">
        <is>
          <t>C1 – Caries Detection &amp; Severity</t>
        </is>
      </c>
      <c r="S9" s="19" t="n"/>
      <c r="T9" s="19" t="n"/>
      <c r="U9" s="19" t="n"/>
      <c r="V9" s="19" t="n"/>
      <c r="W9" s="19" t="n"/>
      <c r="X9" s="19" t="n"/>
      <c r="Y9" s="19" t="n"/>
      <c r="Z9" s="19" t="n"/>
      <c r="AA9" s="19" t="n"/>
      <c r="AB9" s="19" t="n"/>
      <c r="AC9" s="19" t="n"/>
    </row>
    <row r="10">
      <c r="A10" s="19" t="inlineStr">
        <is>
          <t>Paper 9</t>
        </is>
      </c>
      <c r="B10" s="19" t="inlineStr">
        <is>
          <t>Automated Detection of Periodontal Bone Loss in Two-Dimensional (2D) Radiographs Using Artificial Intelligence: A Systematic Review</t>
        </is>
      </c>
      <c r="C10" s="19" t="inlineStr">
        <is>
          <t>Dentistry Journal (MDPI)</t>
        </is>
      </c>
      <c r="D10" s="19" t="n">
        <v>2025</v>
      </c>
      <c r="E10" s="19" t="inlineStr">
        <is>
          <t>Alin M. Iacob, Marta Castrillón Fernández, Laura Fernández Robledo, Enrique Barbeito Castro, Matías Ferrán Escobedo Martínez</t>
        </is>
      </c>
      <c r="F10" s="13" t="inlineStr">
        <is>
          <t>[PDF] Automated Detection of Periodontal Bone Loss in Two-Dimensional (2D) Radiographs Using Artificial Intelligence: A Systematic Review | Semantic Scholar</t>
        </is>
      </c>
      <c r="G10" s="19" t="inlineStr">
        <is>
          <t>Not reported in paper (systematic review; multiple CNN architectures surveyed such as U-Net, YOLO, ResNet, ConvNeXt, DeNTNet, Diagnocat)</t>
        </is>
      </c>
      <c r="H10" s="19" t="inlineStr">
        <is>
          <t>20 diagnostic accuracy studies using panoramic, periapical, and bitewing radiographs</t>
        </is>
      </c>
      <c r="I10" s="19" t="inlineStr">
        <is>
          <t>Total across studies: 141,166 radiographs (20,942 panoramic; 120,224 periapical/bitewing); individual studies range: 30 – 103,914 images</t>
        </is>
      </c>
      <c r="J10" s="19" t="inlineStr">
        <is>
          <t>Accuracy, Sensitivity, Specificity, Precision, F1-score, AUROC, Dice, IoU</t>
        </is>
      </c>
      <c r="K10" s="19" t="inlineStr">
        <is>
          <t>Not reported in paper (review reports ranges; no single best model)</t>
        </is>
      </c>
      <c r="L10" s="19" t="inlineStr">
        <is>
          <t>QUADAS-2 risk of bias assessment; PRISMA-based systematic review; Cohen’s kappa for inter-rater agreement</t>
        </is>
      </c>
      <c r="M10" s="19" t="inlineStr">
        <is>
          <t>Not reported in paper (no XAI methods evaluated)</t>
        </is>
      </c>
      <c r="N10" s="19" t="inlineStr">
        <is>
          <t>High heterogeneity across studies; lack of standardization of metrics; many studies single-center; many lack external validation; variability in imaging protocols and CNN architectures</t>
        </is>
      </c>
      <c r="O10" s="19" t="inlineStr">
        <is>
          <t>Authors explicitly state need for multicenter datasets, standardized imaging protocols, external validation, larger datasets, and integration of additional data (CBCT, clinical risk factors) to improve generalizability and clinical applicability</t>
        </is>
      </c>
      <c r="P10" s="19" t="inlineStr">
        <is>
          <t>Our system is a single unified multi-task AI pipeline (YOLOv8 + U-Net) for both caries and periodontal disease, whereas this paper only reviews periodontal bone loss studies and does not propose an end-to-end system</t>
        </is>
      </c>
      <c r="Q10" s="19" t="inlineStr">
        <is>
          <t>This paper synthesizes real multi-center evidence from 141k+ radiographs and provides clinical-grade validation analysis; our project currently lacks such large-scale systematic clinical benchmarking</t>
        </is>
      </c>
      <c r="R10" s="19" t="inlineStr">
        <is>
          <t>C2 – Periodontal Disease &amp; Bone Loss</t>
        </is>
      </c>
      <c r="S10" s="19" t="n"/>
      <c r="T10" s="19" t="n"/>
      <c r="U10" s="19" t="n"/>
      <c r="V10" s="19" t="n"/>
      <c r="W10" s="19" t="n"/>
      <c r="X10" s="19" t="n"/>
      <c r="Y10" s="19" t="n"/>
      <c r="Z10" s="19" t="n"/>
      <c r="AA10" s="19" t="n"/>
      <c r="AB10" s="19" t="n"/>
      <c r="AC10" s="19" t="n"/>
    </row>
    <row r="11">
      <c r="A11" s="19" t="inlineStr">
        <is>
          <t>Paper 10</t>
        </is>
      </c>
      <c r="B11" s="19" t="inlineStr">
        <is>
          <t>Automated Diagnosis of Dental Conditions in Panoramic X-Rays with Ensemble Deep Learning Models</t>
        </is>
      </c>
      <c r="C11" s="19" t="inlineStr">
        <is>
          <t>2025 Intelligent Methods, Systems, and Applications (IMSA), IEEE</t>
        </is>
      </c>
      <c r="D11" s="19" t="n">
        <v>2025</v>
      </c>
      <c r="E11" s="19" t="inlineStr">
        <is>
          <t>Mohaned Gamal, Aly Essam, Ayman Atia</t>
        </is>
      </c>
      <c r="F11" s="18" t="inlineStr">
        <is>
          <t xml:space="preserve">Diagnosis of Dental Conditions in Panoramic X-Rays with Ensemble Deep Learning ModelsAutomated </t>
        </is>
      </c>
      <c r="G11" s="19" t="inlineStr">
        <is>
          <t>Custom CNN, ResNet-50, InceptionV3, DenseNet121, VGG19 with ensemble methods (Weighted Average, Stacking with XGBoost, Bagging, Boosting)</t>
        </is>
      </c>
      <c r="H11" s="19" t="inlineStr">
        <is>
          <t>Roboflow panoramic dental X-ray dataset with tooth-level bounding boxes</t>
        </is>
      </c>
      <c r="I11" s="19" t="inlineStr">
        <is>
          <t>1,075 panoramic X-rays → 1,814 cropped tooth images (1,357 train / 273 val / 184 test)</t>
        </is>
      </c>
      <c r="J11" s="19" t="inlineStr">
        <is>
          <t>Accuracy, Precision, Recall, F1-score, MCC, AUC-ROC</t>
        </is>
      </c>
      <c r="K11" s="19" t="inlineStr">
        <is>
          <t>Weighted Average Ensemble: Accuracy = 92.93%, Precision = 92.93%, Recall = 92.93%, F1 = 0.92</t>
        </is>
      </c>
      <c r="L11" s="19" t="inlineStr">
        <is>
          <t>Internal train/validation/test split; no external validation; tested on 4 real cases</t>
        </is>
      </c>
      <c r="M11" s="19" t="inlineStr">
        <is>
          <t>Not reported in paper</t>
        </is>
      </c>
      <c r="N11" s="19" t="inlineStr">
        <is>
          <t>Limited dataset diversity and size; overfitting risk; high computational cost; lack of explainability tools; no clinical trials or external benchmarks</t>
        </is>
      </c>
      <c r="O11" s="19" t="inlineStr">
        <is>
          <t>Authors explicitly state need for larger diverse datasets, clinical trials, lightweight models for real-time use, Grad-CAM/attention-based explainability, and expanded diagnostic scope including periodontal disease</t>
        </is>
      </c>
      <c r="P11" s="19" t="inlineStr">
        <is>
          <t>Our system adds segmentation, severity grading, periodontal bone loss estimation, tooth-level prognosis, and Grad-CAM explainability; supports multi-task learning (detection + segmentation + prognosis) and bitewing + panoramic modalities, whereas this paper is only tooth-level classification</t>
        </is>
      </c>
      <c r="Q11" s="19" t="inlineStr">
        <is>
          <t>This paper achieves high accuracy (92.93%) on a real dataset and implements ensemble learning with ESRGAN preprocessing; our project currently lacks external clinical validation and ensemble benchmarking</t>
        </is>
      </c>
      <c r="R11" s="19" t="inlineStr">
        <is>
          <t>C3 – Multi-task / End-to-End OPG Diagnosis</t>
        </is>
      </c>
      <c r="S11" s="19" t="n"/>
      <c r="T11" s="19" t="n"/>
      <c r="U11" s="19" t="n"/>
      <c r="V11" s="19" t="n"/>
      <c r="W11" s="19" t="n"/>
      <c r="X11" s="19" t="n"/>
      <c r="Y11" s="19" t="n"/>
      <c r="Z11" s="19" t="n"/>
      <c r="AA11" s="19" t="n"/>
      <c r="AB11" s="19" t="n"/>
      <c r="AC11" s="19" t="n"/>
    </row>
    <row r="12" ht="68.25" customHeight="1" s="59">
      <c r="A12" s="19" t="inlineStr">
        <is>
          <t>Paper 11</t>
        </is>
      </c>
      <c r="B12" s="19" t="inlineStr">
        <is>
          <t>Artificial Intelligence for Radiographic Imaging Detection of Caries Lesions: A Systematic Review</t>
        </is>
      </c>
      <c r="C12" s="19" t="inlineStr">
        <is>
          <t>BMC Oral Health (Journal)</t>
        </is>
      </c>
      <c r="D12" s="19" t="n">
        <v>2024</v>
      </c>
      <c r="E12" s="19" t="inlineStr">
        <is>
          <t>Domenico Albano et al.</t>
        </is>
      </c>
      <c r="F12" s="18" t="inlineStr">
        <is>
          <t>Artificial intelligence for radiographic imaging detection of caries lesions: a systematic review</t>
        </is>
      </c>
      <c r="G12" s="19" t="inlineStr">
        <is>
          <t>Not reported in paper (systematic review; includes ANN, CNN, DCNN across studies)</t>
        </is>
      </c>
      <c r="H12" s="19" t="inlineStr">
        <is>
          <t>20 included studies using periapical, bitewing, and panoramic radiographs</t>
        </is>
      </c>
      <c r="I12" s="19" t="inlineStr">
        <is>
          <t>Individual studies range: 15 – 2900 images</t>
        </is>
      </c>
      <c r="J12" s="19" t="inlineStr">
        <is>
          <t>Sensitivity, Specificity, Accuracy, Precision, F1, Dice, IoU, AUC</t>
        </is>
      </c>
      <c r="K12" s="19" t="inlineStr">
        <is>
          <t>Best ranges reported: Accuracy up to 0.98, AUC up to 0.98</t>
        </is>
      </c>
      <c r="L12" s="19" t="inlineStr">
        <is>
          <t>PRISMA systematic review, QUADAS-2 risk of bias</t>
        </is>
      </c>
      <c r="M12" s="19" t="inlineStr">
        <is>
          <t>Not reported in paper</t>
        </is>
      </c>
      <c r="N12" s="19" t="inlineStr">
        <is>
          <t>High heterogeneity of datasets; small sample sizes; lack of standardization; limited external validation</t>
        </is>
      </c>
      <c r="O12" s="19" t="inlineStr">
        <is>
          <t>Authors explicitly call for large, standardized, clinically meaningful datasets and multicenter validation</t>
        </is>
      </c>
      <c r="P12" s="19" t="inlineStr">
        <is>
          <t>Our system is a single unified end-to-end multi-task model, not just a literature synthesis; supports detection + segmentation + prognosis with explainability</t>
        </is>
      </c>
      <c r="Q12" s="19" t="inlineStr">
        <is>
          <t>This review aggregates real clinical evidence across 20 studies, far larger than our current experimental validation</t>
        </is>
      </c>
      <c r="R12" s="19" t="inlineStr">
        <is>
          <t>C1 – Caries Detection &amp; Severity</t>
        </is>
      </c>
      <c r="S12" s="19" t="n"/>
      <c r="T12" s="19" t="n"/>
      <c r="U12" s="19" t="n"/>
      <c r="V12" s="19" t="n"/>
      <c r="W12" s="19" t="n"/>
      <c r="X12" s="19" t="n"/>
      <c r="Y12" s="19" t="n"/>
      <c r="Z12" s="19" t="n"/>
      <c r="AA12" s="19" t="n"/>
      <c r="AB12" s="19" t="n"/>
      <c r="AC12" s="19" t="n"/>
    </row>
    <row r="13" ht="81.75" customHeight="1" s="59">
      <c r="A13" s="19" t="inlineStr">
        <is>
          <t>Paper 12</t>
        </is>
      </c>
      <c r="B13" s="19" t="inlineStr">
        <is>
          <t>DenseNet201-Powered Dental Radiograph Classification: A Deep Learning Approach for Multi-class Dental Pathology Detection</t>
        </is>
      </c>
      <c r="C13" s="19" t="inlineStr">
        <is>
          <t>ICPC2T – IEEE Conference</t>
        </is>
      </c>
      <c r="D13" s="19" t="n">
        <v>2025</v>
      </c>
      <c r="E13" s="19" t="inlineStr">
        <is>
          <t>Pratham Kaushik, Pooja Sharma</t>
        </is>
      </c>
      <c r="F13" s="18" t="inlineStr">
        <is>
          <t>DenseNet201-Powered Dental Radiograph Classification: A Deep Learning Approach for Multi-class Dental Pathology Detection | Semantic Scholar</t>
        </is>
      </c>
      <c r="G13" s="19" t="inlineStr">
        <is>
          <t>DenseNet201 (transfer learning)</t>
        </is>
      </c>
      <c r="H13" s="19" t="inlineStr">
        <is>
          <t>Private dental X-ray dataset</t>
        </is>
      </c>
      <c r="I13" s="19" t="inlineStr">
        <is>
          <t>29,815 X-ray images (Normal, Filling, Implant, Cavity, Impacted)</t>
        </is>
      </c>
      <c r="J13" s="19" t="inlineStr">
        <is>
          <t>Accuracy, F1-score</t>
        </is>
      </c>
      <c r="K13" s="19" t="inlineStr">
        <is>
          <t>Overall accuracy = 91%; F1 for cavity = 0.27</t>
        </is>
      </c>
      <c r="L13" s="19" t="inlineStr">
        <is>
          <t>Train/validation/test split (85.3/9.1/5.6)</t>
        </is>
      </c>
      <c r="M13" s="19" t="inlineStr">
        <is>
          <t>Not reported in paper</t>
        </is>
      </c>
      <c r="N13" s="19" t="inlineStr">
        <is>
          <t>Severe class imbalance; poor cavity performance; no localization; no segmentation; no clinical validation</t>
        </is>
      </c>
      <c r="O13" s="19" t="inlineStr">
        <is>
          <t>Authors explicitly propose attention mechanisms and larger balanced datasets for minority classes</t>
        </is>
      </c>
      <c r="P13" s="19" t="inlineStr">
        <is>
          <t>Our system performs object detection + segmentation + grading + bone loss + prognosis, while this paper only performs image-level classification</t>
        </is>
      </c>
      <c r="Q13" s="19" t="inlineStr">
        <is>
          <t>This paper uses a very large dataset (29k images), much larger than our current dataset</t>
        </is>
      </c>
      <c r="R13" s="19" t="inlineStr">
        <is>
          <t>C1 – Caries Detection &amp; Severity</t>
        </is>
      </c>
      <c r="S13" s="19" t="n"/>
    </row>
    <row r="14" ht="79.5" customHeight="1" s="59">
      <c r="A14" s="19" t="inlineStr">
        <is>
          <t>Paper 13</t>
        </is>
      </c>
      <c r="B14" s="19" t="inlineStr">
        <is>
          <t>CariesXrays: Enhancing Caries Detection in Hospital-Scale Panoramic Dental X-rays via Feature Pyramid Contrastive Learning</t>
        </is>
      </c>
      <c r="C14" s="19" t="inlineStr">
        <is>
          <t>AAAI Conference on Artificial Intelligence</t>
        </is>
      </c>
      <c r="D14" s="19" t="n">
        <v>2024</v>
      </c>
      <c r="E14" s="19" t="inlineStr">
        <is>
          <t>Bingzhi Chen et al.</t>
        </is>
      </c>
      <c r="F14" s="18" t="inlineStr">
        <is>
          <t>CariesXrays: Enhancing Caries Detection in Hospital-scale Panoramic Dental X-rays via Feature Pyramid Contrastive Learning</t>
        </is>
      </c>
      <c r="G14" s="19" t="inlineStr">
        <is>
          <t>FPCL (Faster R-CNN + Dual-directional FPN + Contrastive Learning)</t>
        </is>
      </c>
      <c r="H14" s="19" t="inlineStr">
        <is>
          <t>CariesXrays public dataset</t>
        </is>
      </c>
      <c r="I14" s="19" t="inlineStr">
        <is>
          <t>6,000 panoramic X-rays, 13,783 caries bounding boxes</t>
        </is>
      </c>
      <c r="J14" s="19" t="inlineStr">
        <is>
          <t>AP, AP50, AP75</t>
        </is>
      </c>
      <c r="K14" s="19" t="inlineStr">
        <is>
          <t>FPCL: AP = 48.2%, AP50 = 84.1%, AP75 = 50.6%</t>
        </is>
      </c>
      <c r="L14" s="19" t="inlineStr">
        <is>
          <t>Internal train/test split (4800/1200)</t>
        </is>
      </c>
      <c r="M14" s="19" t="inlineStr">
        <is>
          <t>Attention visualization shown in feature maps</t>
        </is>
      </c>
      <c r="N14" s="19" t="inlineStr">
        <is>
          <t>Only caries detection; no severity grading; no periodontal analysis; no prognosis</t>
        </is>
      </c>
      <c r="O14" s="19" t="inlineStr">
        <is>
          <t>Authors explicitly state future work on other oral diseases beyond caries</t>
        </is>
      </c>
      <c r="P14" s="19" t="inlineStr">
        <is>
          <t>Our system supports multi-disease pipeline (caries + periodontal + prognosis) and YOLOv8 real-time detection + segmentation</t>
        </is>
      </c>
      <c r="Q14" s="19" t="inlineStr">
        <is>
          <t>This paper provides a large public benchmark dataset and strong detection accuracy</t>
        </is>
      </c>
      <c r="R14" s="19" t="inlineStr">
        <is>
          <t>C1 – Caries Detection &amp; Severity</t>
        </is>
      </c>
      <c r="S14" s="19" t="n"/>
    </row>
    <row r="15" ht="74.25" customHeight="1" s="59">
      <c r="A15" s="19" t="inlineStr">
        <is>
          <t>Paper 14</t>
        </is>
      </c>
      <c r="B15" s="19" t="inlineStr">
        <is>
          <t>AI-Dentify: Deep Learning for Proximal Caries Detection on Bitewing X-ray – HUNT4 Oral Health Study</t>
        </is>
      </c>
      <c r="C15" s="19" t="inlineStr">
        <is>
          <t>BMC Oral Health (Journal)</t>
        </is>
      </c>
      <c r="D15" s="19" t="n">
        <v>2024</v>
      </c>
      <c r="E15" s="19" t="inlineStr">
        <is>
          <t>Javier Pérez de Frutos et al.</t>
        </is>
      </c>
      <c r="F15" s="18" t="inlineStr">
        <is>
          <t>AI-Dentify: deep learning for proximal caries detection on bitewing x-ray - HUNT4 Oral Health Study</t>
        </is>
      </c>
      <c r="G15" s="19" t="inlineStr">
        <is>
          <t>RetinaNet (ResNet50), YOLOv5 (M), EfficientDet (D0/D1)</t>
        </is>
      </c>
      <c r="H15" s="19" t="inlineStr">
        <is>
          <t>HUNT4 Oral Health Study</t>
        </is>
      </c>
      <c r="I15" s="19" t="inlineStr">
        <is>
          <t>13,887 bitewing X-rays; 197 consensus test images</t>
        </is>
      </c>
      <c r="J15" s="19" t="inlineStr">
        <is>
          <t>mAP, F1-score, False Negative Rate</t>
        </is>
      </c>
      <c r="K15" s="19" t="inlineStr">
        <is>
          <t>YOLOv5: mAP = 0.647, F1 = 0.548</t>
        </is>
      </c>
      <c r="L15" s="19" t="inlineStr">
        <is>
          <t>5-fold cross validation + expert consensus test set</t>
        </is>
      </c>
      <c r="M15" s="19" t="inlineStr">
        <is>
          <t>Not reported in paper</t>
        </is>
      </c>
      <c r="N15" s="19" t="inlineStr">
        <is>
          <t>Only bitewing modality; no panoramic; no segmentation; no periodontal disease</t>
        </is>
      </c>
      <c r="O15" s="19" t="inlineStr">
        <is>
          <t>Authors explicitly state need for better datasets and handling artifacts</t>
        </is>
      </c>
      <c r="P15" s="19" t="inlineStr">
        <is>
          <t>Our system supports panoramic + bitewing, plus segmentation, severity grading, bone loss, prognosis, explainability</t>
        </is>
      </c>
      <c r="Q15" s="19" t="inlineStr">
        <is>
          <t>This paper has strong real clinical validation with 13k images and expert consensus</t>
        </is>
      </c>
      <c r="R15" s="19" t="inlineStr">
        <is>
          <t>C1 – Caries Detection &amp; Severity</t>
        </is>
      </c>
      <c r="S15" s="19" t="n"/>
    </row>
    <row r="16">
      <c r="A16" s="19" t="inlineStr">
        <is>
          <t>Paper 15</t>
        </is>
      </c>
      <c r="B16" s="19" t="inlineStr">
        <is>
          <t>AI-Driven Approaches for Enhancing Early Detection of Dental Caries</t>
        </is>
      </c>
      <c r="C16" s="19" t="inlineStr">
        <is>
          <t>IEEE ICICKE – International Conference on Intelligent Computing and Knowledge Extraction</t>
        </is>
      </c>
      <c r="D16" s="19" t="n">
        <v>2025</v>
      </c>
      <c r="E16" s="19" t="inlineStr">
        <is>
          <t>Sastika B., Raja Marappan</t>
        </is>
      </c>
      <c r="F16" s="18" t="inlineStr">
        <is>
          <t>AI-Driven Approaches for Enhancing Early Detection of Dental Caries</t>
        </is>
      </c>
      <c r="G16" s="19" t="inlineStr">
        <is>
          <t>Not a single model; review discusses U-Net, ResNet, YOLOv7, YOLOv8, ensemble CNNs, 3D CNNs, SimCLR + ResNet-18</t>
        </is>
      </c>
      <c r="H16" s="19" t="inlineStr">
        <is>
          <t>Not a single dataset; multiple datasets across reviewed studies (bitewing, panoramic, CBCT, intraoral, DentC, Kaggle teeth)</t>
        </is>
      </c>
      <c r="I16" s="19" t="inlineStr">
        <is>
          <t>Not reported in paper (review aggregates datasets from 40 images up to 6000+ teeth depending on cited studies)</t>
        </is>
      </c>
      <c r="J16" s="19" t="inlineStr">
        <is>
          <t>Accuracy, Precision, Recall, F1-score, ROC-AUC</t>
        </is>
      </c>
      <c r="K16" s="19" t="inlineStr">
        <is>
          <t>Reported ranges: Accuracy 85–99%, Precision 86–96%, F1-score 87–94%</t>
        </is>
      </c>
      <c r="L16" s="19" t="inlineStr">
        <is>
          <t>Systematic literature review (no original experimental validation)</t>
        </is>
      </c>
      <c r="M16" s="19" t="inlineStr">
        <is>
          <t>CAM / Grad-CAM discussed in surveyed studies</t>
        </is>
      </c>
      <c r="N16" s="19" t="inlineStr">
        <is>
          <t>Small, region-specific datasets; lack of large-scale clinical trials; black-box models; limited multimodal integration</t>
        </is>
      </c>
      <c r="O16" s="19" t="inlineStr">
        <is>
          <t>Authors explicitly state need for multi-modal imaging, large annotated datasets, multi-center clinical trials, and strong XAI integration</t>
        </is>
      </c>
      <c r="P16" s="19" t="inlineStr">
        <is>
          <t>Our system is an actual end-to-end implemented system (YOLOv8 + U-Net) performing detection + segmentation + severity + bone loss + prognosis, while this paper is only a conceptual/review framework</t>
        </is>
      </c>
      <c r="Q16" s="19" t="inlineStr">
        <is>
          <t>This paper synthesizes dozens of prior studies and metrics, providing broader literature-level evidence than our single-system evaluation</t>
        </is>
      </c>
      <c r="R16" s="19" t="inlineStr">
        <is>
          <t>C1 – Caries Detection &amp; Severity</t>
        </is>
      </c>
      <c r="S16" s="19" t="n"/>
      <c r="T16" s="19" t="n"/>
      <c r="U16" s="19" t="n"/>
      <c r="V16" s="19" t="n"/>
      <c r="W16" s="19" t="n"/>
      <c r="X16" s="19" t="n"/>
      <c r="Y16" s="19" t="n"/>
      <c r="Z16" s="19" t="n"/>
      <c r="AA16" s="19" t="n"/>
      <c r="AB16" s="19" t="n"/>
      <c r="AC16" s="19" t="n"/>
    </row>
    <row r="17">
      <c r="A17" s="19" t="inlineStr">
        <is>
          <t>Paper 16</t>
        </is>
      </c>
      <c r="B17" s="19" t="inlineStr">
        <is>
          <t>Cost-effectiveness of Artificial Intelligence for Proximal Caries Detection</t>
        </is>
      </c>
      <c r="C17" s="19" t="inlineStr">
        <is>
          <t>Journal of Dental Research</t>
        </is>
      </c>
      <c r="D17" s="19" t="n">
        <v>2021</v>
      </c>
      <c r="E17" s="19" t="inlineStr">
        <is>
          <t>F. Schwendicke et al.</t>
        </is>
      </c>
      <c r="F17" s="18" t="inlineStr">
        <is>
          <t>Cost-effectiveness of Artificial Intelligence for Proximal Caries Detection</t>
        </is>
      </c>
      <c r="G17" s="19" t="inlineStr">
        <is>
          <t>U-Net (fully convolutional neural network)</t>
        </is>
      </c>
      <c r="H17" s="19" t="inlineStr">
        <is>
          <t>Retrospective bitewing radiographs from German dental clinic</t>
        </is>
      </c>
      <c r="I17" s="19" t="inlineStr">
        <is>
          <t>Training: 3,293; Validation: 252; Test: 141 bitewing radiographs</t>
        </is>
      </c>
      <c r="J17" s="19" t="inlineStr">
        <is>
          <t>Accuracy, Sensitivity, Specificity, ICER (cost-effectiveness)</t>
        </is>
      </c>
      <c r="K17" s="19" t="inlineStr">
        <is>
          <t>AI Accuracy = 0.80; Sensitivity = 0.75; Specificity = 0.83; ICER = –13.9 €/year</t>
        </is>
      </c>
      <c r="L17" s="19" t="inlineStr">
        <is>
          <t>Internal train/val/test + Monte-Carlo microsimulation (Markov health economics model)</t>
        </is>
      </c>
      <c r="M17" s="19" t="inlineStr">
        <is>
          <t>Not reported in paper</t>
        </is>
      </c>
      <c r="N17" s="19" t="inlineStr">
        <is>
          <t>Single-center dataset; German healthcare system only; no prospective clinical trial; only proximal caries</t>
        </is>
      </c>
      <c r="O17" s="19" t="inlineStr">
        <is>
          <t>Authors explicitly call for prospective randomized clinical studies and generalization beyond German healthcare context</t>
        </is>
      </c>
      <c r="P17" s="19" t="inlineStr">
        <is>
          <t>Our system provides multi-disease diagnosis (caries + periodontal), segmentation, severity grading, bone loss estimation, and clinical decision support, while this paper only studies binary proximal caries detection</t>
        </is>
      </c>
      <c r="Q17" s="19" t="inlineStr">
        <is>
          <t>This paper has real health-economic validation, long-term simulation, and clinical cost-effectiveness evidence, which our system does not yet have</t>
        </is>
      </c>
      <c r="R17" s="19" t="inlineStr">
        <is>
          <t>C1 – Caries Detection &amp; Severity</t>
        </is>
      </c>
      <c r="S17" s="19" t="n"/>
      <c r="T17" s="19" t="n"/>
      <c r="U17" s="19" t="n"/>
      <c r="V17" s="19" t="n"/>
      <c r="W17" s="19" t="n"/>
      <c r="X17" s="19" t="n"/>
      <c r="Y17" s="19" t="n"/>
      <c r="Z17" s="19" t="n"/>
      <c r="AA17" s="19" t="n"/>
      <c r="AB17" s="19" t="n"/>
      <c r="AC17" s="19" t="n"/>
    </row>
    <row r="18">
      <c r="A18" s="19" t="inlineStr">
        <is>
          <t>Paper 17</t>
        </is>
      </c>
      <c r="B18" s="19" t="inlineStr">
        <is>
          <t>Accuracy of Artificial Intelligence in Caries Detection: A Systematic Review and Meta-analysis</t>
        </is>
      </c>
      <c r="C18" s="19" t="inlineStr">
        <is>
          <t>Head &amp; Face Medicine</t>
        </is>
      </c>
      <c r="D18" s="19" t="n">
        <v>2025</v>
      </c>
      <c r="E18" s="19" t="inlineStr">
        <is>
          <t>Alexander Maniangat Luke, Nader Nabil Fouad Rezallah</t>
        </is>
      </c>
      <c r="F18" s="18" t="inlineStr">
        <is>
          <t>Accuracy of artificial intelligence in caries detection: a systematic review and meta-analysis | Head &amp; Face Medicine | Springer Nature Link</t>
        </is>
      </c>
      <c r="G18" s="19" t="inlineStr">
        <is>
          <t>CNNs (general), EfficientNet, ResNet, AlexNet, VGG, FCNN, DCNN (various across included studies)</t>
        </is>
      </c>
      <c r="H18" s="19" t="inlineStr">
        <is>
          <t>Multiple datasets from 21 included studies (bitewing, panoramic, periapical radiographs)</t>
        </is>
      </c>
      <c r="I18" s="19" t="inlineStr">
        <is>
          <t>Ranges from 15 to 11,000 samples per study (meta-analysis total: 17,190 for sensitivity analysis)</t>
        </is>
      </c>
      <c r="J18" s="19" t="inlineStr">
        <is>
          <t>Accuracy, Sensitivity, Specificity, AUC, OR</t>
        </is>
      </c>
      <c r="K18" s="19" t="inlineStr">
        <is>
          <t>Best reported: 98.8% accuracy (De Araujo Faria et al., 2021); several studies &gt;95% accuracy</t>
        </is>
      </c>
      <c r="L18" s="19" t="inlineStr">
        <is>
          <t>Meta-analysis using PRISMA, QUADAS-2 risk of bias assessment, forest plots</t>
        </is>
      </c>
      <c r="M18" s="19" t="inlineStr">
        <is>
          <t>Not reported in paper (no Grad-CAM / attention analysis)</t>
        </is>
      </c>
      <c r="N18" s="19" t="inlineStr">
        <is>
          <t>High heterogeneity (I² ≈ 88–96%); many studies retrospective; lack of standardized datasets; patient selection bias; limited external validation</t>
        </is>
      </c>
      <c r="O18" s="19" t="inlineStr">
        <is>
          <t>Need for large standardized datasets, prospective clinical trials, better generalization across populations, integration into real clinical workflow</t>
        </is>
      </c>
      <c r="P18" s="19" t="inlineStr">
        <is>
          <t>Our system is multi-task (detection + segmentation + prognosis) while this is only single-task (caries detection); we use modern YOLOv8 + U-Net; includes explainability and clinical decision support</t>
        </is>
      </c>
      <c r="Q18" s="19" t="inlineStr">
        <is>
          <t>Our project lacks large-scale meta-analysis-level dataset and statistical validation across populations</t>
        </is>
      </c>
      <c r="R18" s="19" t="inlineStr">
        <is>
          <t>C1 – Caries Detection &amp; Severity</t>
        </is>
      </c>
      <c r="S18" s="19" t="inlineStr">
        <is>
          <t>c5</t>
        </is>
      </c>
      <c r="T18" s="19" t="n"/>
    </row>
    <row r="19">
      <c r="A19" s="19" t="inlineStr">
        <is>
          <t>Paper 18</t>
        </is>
      </c>
      <c r="B19" s="37" t="inlineStr">
        <is>
          <t>Extraction and Evaluation of Caries in Dental X-ray using UNet: A Study</t>
        </is>
      </c>
      <c r="C19" s="19" t="inlineStr">
        <is>
          <t>IEEE ICEARS Conference</t>
        </is>
      </c>
      <c r="D19" s="19" t="n">
        <v>2025</v>
      </c>
      <c r="E19" s="19" t="inlineStr">
        <is>
          <t>Vickram A S, Mathan Muthu C M</t>
        </is>
      </c>
      <c r="F19" s="18" t="inlineStr">
        <is>
          <t>Extraction and Evaluation of Caries in Dental X-ray using UNet: A Study | IEEE Conference Publication</t>
        </is>
      </c>
      <c r="G19" s="19" t="inlineStr">
        <is>
          <t>UNet, UNet+, UNet++, SegNet</t>
        </is>
      </c>
      <c r="H19" s="19" t="inlineStr">
        <is>
          <t>Dental X-ray dataset from Mendeley (Kybic et al., 2023)</t>
        </is>
      </c>
      <c r="I19" s="19" t="inlineStr">
        <is>
          <t>500 images (400 train, 50 validation, 50 test)</t>
        </is>
      </c>
      <c r="J19" s="19" t="inlineStr">
        <is>
          <t>Jaccard, Dice, Accuracy, Precision, Sensitivity, Specificity</t>
        </is>
      </c>
      <c r="K19" s="19" t="inlineStr">
        <is>
          <t>Best: UNet+ accuracy = 98.03%, Dice = 96.77%</t>
        </is>
      </c>
      <c r="L19" s="19" t="inlineStr">
        <is>
          <t>Train/validation/test split; no external clinical validation</t>
        </is>
      </c>
      <c r="M19" s="19" t="inlineStr">
        <is>
          <t>Not reported in paper</t>
        </is>
      </c>
      <c r="N19" s="19" t="inlineStr">
        <is>
          <t>Small dataset; synthetic augmentation; no real clinical dataset; no severity grading; no multi-disease capability</t>
        </is>
      </c>
      <c r="O19" s="19" t="inlineStr">
        <is>
          <t>Performance must be validated on real clinical X-rays; extend to clinically collected datasets; improve segmentation with better enhancement</t>
        </is>
      </c>
      <c r="P19" s="19" t="inlineStr">
        <is>
          <t>Our project performs detection + grading + periodontal segmentation + prognosis, while this is only binary caries segmentation; we use object detection (YOLOv8) and XAI</t>
        </is>
      </c>
      <c r="Q19" s="19" t="inlineStr">
        <is>
          <t>Our dataset scale likely smaller than large public datasets; no reported segmentation Dice yet</t>
        </is>
      </c>
      <c r="R19" s="19" t="inlineStr">
        <is>
          <t>C1 – Caries Detection &amp; Severity</t>
        </is>
      </c>
      <c r="S19" s="19" t="inlineStr">
        <is>
          <t>C6</t>
        </is>
      </c>
      <c r="T19" s="19" t="n"/>
    </row>
    <row r="20">
      <c r="A20" s="19" t="inlineStr">
        <is>
          <t>Paper 19</t>
        </is>
      </c>
      <c r="B20" s="19" t="inlineStr">
        <is>
          <t>Automated quality evaluation of dental panoramic radiographs using deep learning</t>
        </is>
      </c>
      <c r="C20" s="19" t="inlineStr">
        <is>
          <t>Imaging Science in Dentistry</t>
        </is>
      </c>
      <c r="D20" s="19" t="n">
        <v>2025</v>
      </c>
      <c r="E20" s="19" t="inlineStr">
        <is>
          <t>Nazila Ameli, Masoud Miri Moghaddam, Hollis Lai, Camila Pacheco-Pereira</t>
        </is>
      </c>
      <c r="F20" s="43" t="inlineStr">
        <is>
          <t>Automated quality evaluation of dental panoramic radiographs using deep learning - PMC</t>
        </is>
      </c>
      <c r="G20" s="19" t="inlineStr">
        <is>
          <t>YOLOv8 classification models (5 separate models)</t>
        </is>
      </c>
      <c r="H20" s="19" t="inlineStr">
        <is>
          <t>Private clinical panoramic radiographs (University of Alberta)</t>
        </is>
      </c>
      <c r="I20" s="19" t="inlineStr">
        <is>
          <t>1,000 panoramic radiographs (2018–2023)</t>
        </is>
      </c>
      <c r="J20" s="19" t="inlineStr">
        <is>
          <t>Accuracy, Precision, Recall, F1-score, Cohen’s Kappa</t>
        </is>
      </c>
      <c r="K20" s="19" t="inlineStr">
        <is>
          <t>Contrast/Density Accuracy = 97.9%; Artifact = 87.2%; Overall Quality = 79.3%</t>
        </is>
      </c>
      <c r="L20" s="19" t="inlineStr">
        <is>
          <t>Train/Validation/Test split; dual dentist annotation; OMFR adjudication; Cohen’s κ</t>
        </is>
      </c>
      <c r="M20" s="19" t="inlineStr">
        <is>
          <t>Not reported in paper</t>
        </is>
      </c>
      <c r="N20" s="19" t="inlineStr">
        <is>
          <t>Not a diagnostic system; no disease detection; classification only; multiple separate models; no localization</t>
        </is>
      </c>
      <c r="O20" s="19" t="inlineStr">
        <is>
          <t>Authors state need to integrate quality assessment into broader diagnostic AI pipelines</t>
        </is>
      </c>
      <c r="P20" s="19" t="inlineStr">
        <is>
          <t>Our system performs actual disease detection, segmentation, severity grading, prognosis, not pre-diagnostic quality filtering only</t>
        </is>
      </c>
      <c r="Q20" s="19" t="inlineStr">
        <is>
          <t>This paper has formal inter-rater reliability analysis and focuses on image quality control</t>
        </is>
      </c>
      <c r="R20" s="19" t="inlineStr">
        <is>
          <t>C5 – Datasets &amp; Clinical Validation</t>
        </is>
      </c>
      <c r="S20" s="19" t="n"/>
      <c r="T20" s="19" t="n"/>
      <c r="U20" s="19" t="n"/>
      <c r="V20" s="19" t="n"/>
      <c r="W20" s="19" t="n"/>
      <c r="X20" s="19" t="n"/>
      <c r="Y20" s="19" t="n"/>
      <c r="Z20" s="19" t="n"/>
      <c r="AA20" s="19" t="n"/>
      <c r="AB20" s="19" t="n"/>
      <c r="AC20" s="19" t="n"/>
    </row>
    <row r="21">
      <c r="A21" s="44" t="inlineStr">
        <is>
          <t>Paper 20</t>
        </is>
      </c>
      <c r="B21" s="19" t="inlineStr">
        <is>
          <t>Combining public datasets for automated tooth assessment in panoramic radiographs</t>
        </is>
      </c>
      <c r="C21" s="19" t="inlineStr">
        <is>
          <t>BMC Oral Health</t>
        </is>
      </c>
      <c r="D21" s="19" t="n">
        <v>2024</v>
      </c>
      <c r="E21" s="19" t="inlineStr">
        <is>
          <t>van Nistelrooij et al.</t>
        </is>
      </c>
      <c r="F21" s="43" t="inlineStr">
        <is>
          <t>(PDF) Combining public datasets for automated tooth assessment in panoramic radiographs</t>
        </is>
      </c>
      <c r="G21" s="19" t="inlineStr">
        <is>
          <t>Mask DINO (ViT) for tooth instance segmentation + Swin-B Transformers for multi-label diagnosis</t>
        </is>
      </c>
      <c r="H21" s="19" t="inlineStr">
        <is>
          <t>OdontoAI + DENTEX (public datasets)</t>
        </is>
      </c>
      <c r="I21" s="19" t="inlineStr">
        <is>
          <t>1,661 PRs (OdontoAI) + 682 PRs (DENTEX)</t>
        </is>
      </c>
      <c r="J21" s="19" t="inlineStr">
        <is>
          <t>FROC, mAP, Accuracy, F1, AUC</t>
        </is>
      </c>
      <c r="K21" s="19" t="inlineStr">
        <is>
          <t>Tooth segmentation FROC = 0.988, mAP = 0.848; Impacted teeth AUC = 0.996</t>
        </is>
      </c>
      <c r="L21" s="19" t="inlineStr">
        <is>
          <t>5-fold cross-validation; held-out test sets</t>
        </is>
      </c>
      <c r="M21" s="19" t="inlineStr">
        <is>
          <t>Not reported in paper</t>
        </is>
      </c>
      <c r="N21" s="19" t="inlineStr">
        <is>
          <t>Two-stage pipeline slow (~40s/image); weak early caries detection; noisy annotations</t>
        </is>
      </c>
      <c r="O21" s="19" t="inlineStr">
        <is>
          <t>Authors highlight need for lesion segmentation, annotation verification, and faster pipelines</t>
        </is>
      </c>
      <c r="P21" s="19" t="inlineStr">
        <is>
          <t>Our system uses single-stage YOLOv8 detection, adds periodontal analysis, prognosis, explainability, and is clinically faster</t>
        </is>
      </c>
      <c r="Q21" s="19" t="inlineStr">
        <is>
          <t>This paper uses larger public datasets and advanced ViT-based segmentation</t>
        </is>
      </c>
      <c r="R21" s="19" t="inlineStr">
        <is>
          <t>C3 – Multi-task / End-to-End OPG Diagnosis</t>
        </is>
      </c>
      <c r="S21" s="19" t="n"/>
      <c r="T21" s="19" t="n"/>
      <c r="U21" s="19" t="n"/>
      <c r="V21" s="19" t="n"/>
      <c r="W21" s="19" t="n"/>
      <c r="X21" s="19" t="n"/>
      <c r="Y21" s="19" t="n"/>
      <c r="Z21" s="19" t="n"/>
      <c r="AA21" s="19" t="n"/>
      <c r="AB21" s="19" t="n"/>
      <c r="AC21" s="19" t="n"/>
    </row>
    <row r="22">
      <c r="A22" s="19" t="inlineStr">
        <is>
          <t>Paper 21</t>
        </is>
      </c>
      <c r="B22" s="19" t="inlineStr">
        <is>
          <t>Deep learning for tooth detection and segmentation in panoramic radiographs: a systematic review and meta-analysis</t>
        </is>
      </c>
      <c r="C22" s="19" t="inlineStr">
        <is>
          <t>BMC Oral Health</t>
        </is>
      </c>
      <c r="D22" s="19" t="n">
        <v>2025</v>
      </c>
      <c r="E22" s="19" t="inlineStr">
        <is>
          <t>M. Bonfanti-Gris, A. Herrera, M. P. Salido Rodríguez-Manzaneque, F. Martínez-Rus, G. Pradíes</t>
        </is>
      </c>
      <c r="F22" s="18" t="inlineStr">
        <is>
          <t>Deep learning for tooth detection and segmentation in panoramic radiographs: a systematic review and meta-analysis | BMC Oral Health | Springer Nature Link</t>
        </is>
      </c>
      <c r="G22" s="19" t="inlineStr">
        <is>
          <t>Multiple CNNs across studies: Faster R-CNN, ResNet, VGG-16, YOLO, Mask R-CNN, Inception V2/V3, UNet, AlexNet, DetectNet, SqueezeNet, DeepLabv3, SwinNet, EfficientNet, YOLOv5, DeepLabV3Plus</t>
        </is>
      </c>
      <c r="H22" s="19" t="inlineStr">
        <is>
          <t>20 studies using private and public panoramic radiograph datasets</t>
        </is>
      </c>
      <c r="I22" s="19" t="inlineStr">
        <is>
          <t>Per study: mostly 500–1500 OPGs; smallest 50 OPGs; largest 4545 OPGs; meta-analysis included 6 studies with 14 models</t>
        </is>
      </c>
      <c r="J22" s="19" t="inlineStr">
        <is>
          <t>Sensitivity, Specificity, Precision, Recall, F1, mAP, mAR, IoU, AUC, DOR</t>
        </is>
      </c>
      <c r="K22" s="19" t="inlineStr">
        <is>
          <t>Pooled (meta-analysis): Sensitivity = 0.92 (CI 0.84–0.96), Specificity = 0.94 (CI 0.89–0.97), DOR = 186</t>
        </is>
      </c>
      <c r="L22" s="19" t="inlineStr">
        <is>
          <t>Meta-analysis with QUADAS-2 risk of bias, GRADE assessment, PRISMA-DTA protocol, forest plots, HSROC</t>
        </is>
      </c>
      <c r="M22" s="19" t="inlineStr">
        <is>
          <t>Not reported in paper</t>
        </is>
      </c>
      <c r="N22" s="19" t="inlineStr">
        <is>
          <t>High heterogeneity (I² ≈ 96%); lack of standardized datasets; many studies single-center; inconsistent reference standards; limited external validation; poor generalizability</t>
        </is>
      </c>
      <c r="O22" s="19" t="inlineStr">
        <is>
          <t>Need large multicenter datasets; standardized benchmarks (STARD-AI, CLAIM); external clinical validation; better reference standards; interpretability and clinician trust</t>
        </is>
      </c>
      <c r="P22" s="19" t="inlineStr">
        <is>
          <t>Our system performs disease-level diagnosis (caries + periodontal) and prognosis, while this paper only evaluates tooth detection/segmentation infrastructure</t>
        </is>
      </c>
      <c r="Q22" s="19" t="inlineStr">
        <is>
          <t>Our project does not yet have meta-analysis-level evidence or pooled diagnostic statistics</t>
        </is>
      </c>
      <c r="R22" s="19" t="inlineStr">
        <is>
          <t>C6 – Tooth Segmentation &amp; Numbering</t>
        </is>
      </c>
      <c r="S22" s="19" t="inlineStr">
        <is>
          <t>c5</t>
        </is>
      </c>
      <c r="T22" s="19" t="n"/>
      <c r="U22" s="19" t="n"/>
      <c r="V22" s="19" t="n"/>
      <c r="W22" s="19" t="n"/>
      <c r="X22" s="19" t="n"/>
      <c r="Y22" s="19" t="n"/>
      <c r="Z22" s="19" t="n"/>
      <c r="AA22" s="19" t="n"/>
      <c r="AB22" s="19" t="n"/>
      <c r="AC22" s="19" t="n"/>
    </row>
    <row r="23">
      <c r="A23" s="19" t="inlineStr">
        <is>
          <t>Paper 22</t>
        </is>
      </c>
      <c r="B23" s="19" t="inlineStr">
        <is>
          <t>Comparative Evaluation of Images of Alveolar Bone Loss Using Panoramic Images and Artificial Intelligence</t>
        </is>
      </c>
      <c r="C23" s="19" t="inlineStr">
        <is>
          <t>Engineering Proceedings (MDPI)</t>
        </is>
      </c>
      <c r="D23" s="19" t="n">
        <v>2025</v>
      </c>
      <c r="E23" s="19" t="inlineStr">
        <is>
          <t>Ankita Mathur, Sushil Pawar, Praveen K. G. Kamma, Vishnu T. Obulareddy, Kabir S. Dash, Aida Meto, Vini Mehta</t>
        </is>
      </c>
      <c r="F23" s="18" t="inlineStr">
        <is>
          <t>Comparative Evaluation of Images of Alveolar Bone Loss Using Panoramic Images and Artificial Intelligence</t>
        </is>
      </c>
      <c r="G23" s="19" t="inlineStr">
        <is>
          <t>VGG-16 based CNN (transfer learning)</t>
        </is>
      </c>
      <c r="H23" s="19" t="inlineStr">
        <is>
          <t>Private institutional panoramic radiographs</t>
        </is>
      </c>
      <c r="I23" s="19" t="inlineStr">
        <is>
          <t>1,874 OPGs (953 bone loss, 921 normal)</t>
        </is>
      </c>
      <c r="J23" s="19" t="inlineStr">
        <is>
          <t>Accuracy, Sensitivity, Specificity, Precision, F1-score</t>
        </is>
      </c>
      <c r="K23" s="19" t="inlineStr">
        <is>
          <t>Accuracy = 89.27%, Sensitivity = 83.27%, Specificity = 86.83%</t>
        </is>
      </c>
      <c r="L23" s="19" t="inlineStr">
        <is>
          <t>Train/validation/test split; confusion matrix; expert-labeled ground truth</t>
        </is>
      </c>
      <c r="M23" s="19" t="inlineStr">
        <is>
          <t>Not reported in paper</t>
        </is>
      </c>
      <c r="N23" s="19" t="inlineStr">
        <is>
          <t>Binary classification only; no severity grading; no lesion localization; single-center dataset; no external validation</t>
        </is>
      </c>
      <c r="O23" s="19" t="inlineStr">
        <is>
          <t>Need fully automated periodontal case detection with clinical validation; need quantitative bone loss estimation instead of binary labels</t>
        </is>
      </c>
      <c r="P23" s="19" t="inlineStr">
        <is>
          <t>Our system performs bone loss segmentation, quantitative estimation, severity grading, multi-disease diagnosis, and explainability</t>
        </is>
      </c>
      <c r="Q23" s="19" t="inlineStr">
        <is>
          <t>Our project lacks large clinical dataset and statistical validation like this study</t>
        </is>
      </c>
      <c r="R23" s="19" t="inlineStr">
        <is>
          <t>C2 – Periodontal Disease &amp; Bone Loss</t>
        </is>
      </c>
      <c r="S23" s="19" t="inlineStr">
        <is>
          <t>c5</t>
        </is>
      </c>
      <c r="T23" s="19" t="n"/>
      <c r="U23" s="19" t="n"/>
      <c r="V23" s="19" t="n"/>
    </row>
    <row r="24" ht="84" customHeight="1" s="59">
      <c r="A24" s="19" t="inlineStr">
        <is>
          <t>Paper 23</t>
        </is>
      </c>
      <c r="B24" s="19" t="inlineStr">
        <is>
          <t>Detection of Periodontal Bone Loss and Periodontitis from 2D Dental Radiographs via Machine Learning and Deep Learning: A Systematic Review and Meta-analysis</t>
        </is>
      </c>
      <c r="C24" s="19" t="inlineStr">
        <is>
          <t>Dentomaxillofacial Radiology (Oxford)</t>
        </is>
      </c>
      <c r="D24" s="19" t="n">
        <v>2025</v>
      </c>
      <c r="E24" s="19" t="inlineStr">
        <is>
          <t>Yahia H. Khubrani et al.</t>
        </is>
      </c>
      <c r="F24" s="18" t="inlineStr">
        <is>
          <t>Detection of periodontal bone loss and periodontitis from 2D dental radiographs via machine learning and deep learning: systematic review employing APPRAISE-AI and meta-analysis | Dentomaxillofacial Radiology | Oxford Academic</t>
        </is>
      </c>
      <c r="G24" s="19" t="inlineStr">
        <is>
          <t>Multiple models across studies: CNN, ResNet, VGG, U-Net, Mask R-CNN, YOLO, SVM, GAN, Inception</t>
        </is>
      </c>
      <c r="H24" s="19" t="inlineStr">
        <is>
          <t>30 studies using panoramic, periapical, bitewing radiographs</t>
        </is>
      </c>
      <c r="I24" s="19" t="inlineStr">
        <is>
          <t>Per study: 50–4,545 images; meta-analysis included 10 studies</t>
        </is>
      </c>
      <c r="J24" s="19" t="inlineStr">
        <is>
          <t>Sensitivity, Specificity, Accuracy, AUC, F1, Dice, IoU</t>
        </is>
      </c>
      <c r="K24" s="19" t="inlineStr">
        <is>
          <t>Pooled: Sensitivity = 87%, Specificity = 76%, Accuracy = 84%</t>
        </is>
      </c>
      <c r="L24" s="19" t="inlineStr">
        <is>
          <t>PRISMA systematic review, APPRAISE-AI tool, random-effects meta-analysis</t>
        </is>
      </c>
      <c r="M24" s="19" t="inlineStr">
        <is>
          <t>Not reported in paper</t>
        </is>
      </c>
      <c r="N24" s="19" t="inlineStr">
        <is>
          <t>High heterogeneity; poor reporting standards; lack of external validation; most studies single-center; binary bone loss only</t>
        </is>
      </c>
      <c r="O24" s="19" t="inlineStr">
        <is>
          <t>Need standardized datasets, multicenter studies, prospective clinical validation, explainable AI</t>
        </is>
      </c>
      <c r="P24" s="19" t="inlineStr">
        <is>
          <t>Our system is end-to-end clinical diagnostic system with segmentation, prognosis, multi-task learning, and XAI</t>
        </is>
      </c>
      <c r="Q24" s="19" t="inlineStr">
        <is>
          <t>Our project lacks meta-analysis-level statistical evidence and pooled diagnostic performance</t>
        </is>
      </c>
      <c r="R24" s="19" t="inlineStr">
        <is>
          <t>C2 – Periodontal Disease &amp; Bone Loss</t>
        </is>
      </c>
      <c r="S24" s="19" t="inlineStr">
        <is>
          <t>c5</t>
        </is>
      </c>
      <c r="T24" s="19" t="n"/>
      <c r="U24" s="19" t="n"/>
      <c r="V24" s="19" t="n"/>
    </row>
    <row r="25" ht="70.5" customHeight="1" s="59">
      <c r="A25" s="19" t="inlineStr">
        <is>
          <t>Paper 24</t>
        </is>
      </c>
      <c r="B25" s="19" t="inlineStr">
        <is>
          <t>Development and Validation of a Polyfit Approach for Assessing Alveolar Bone Loss Using Panoramic Radiography</t>
        </is>
      </c>
      <c r="C25" s="19" t="inlineStr">
        <is>
          <t>BMC Oral Health</t>
        </is>
      </c>
      <c r="D25" s="19" t="n">
        <v>2025</v>
      </c>
      <c r="E25" s="19" t="inlineStr">
        <is>
          <t>Erkang Tian, Jiawei Hong et al.</t>
        </is>
      </c>
      <c r="F25" s="18" t="inlineStr">
        <is>
          <t>Development and validation of a polyfit approach for assessing alveolar bone loss using panoramic radiography | BMC Oral Health | Springer Nature Link</t>
        </is>
      </c>
      <c r="G25" s="19" t="inlineStr">
        <is>
          <t>PAN-POL mathematical model (polyfit function, not deep learning)</t>
        </is>
      </c>
      <c r="H25" s="19" t="inlineStr">
        <is>
          <t>PAN + CBCT from West China Hospital</t>
        </is>
      </c>
      <c r="I25" s="19" t="inlineStr">
        <is>
          <t>290 PAN patients; 30 CBCT for validation</t>
        </is>
      </c>
      <c r="J25" s="19" t="inlineStr">
        <is>
          <t>ICC, Pearson correlation, statistical tests</t>
        </is>
      </c>
      <c r="K25" s="19" t="inlineStr">
        <is>
          <t>ICC = 0.83 (PAN), 0.93 (CBCT)</t>
        </is>
      </c>
      <c r="L25" s="19" t="inlineStr">
        <is>
          <t>Comparison with CBCT measurements; statistical correlation</t>
        </is>
      </c>
      <c r="M25" s="19" t="inlineStr">
        <is>
          <t>Not reported in paper</t>
        </is>
      </c>
      <c r="N25" s="19" t="inlineStr">
        <is>
          <t>Not a deep learning model; manual landmark annotation; not automated; no lesion detection</t>
        </is>
      </c>
      <c r="O25" s="19" t="inlineStr">
        <is>
          <t>Need fully automated AI-based segmentation and detection instead of manual polyfit approach</t>
        </is>
      </c>
      <c r="P25" s="19" t="inlineStr">
        <is>
          <t>Our system is fully automated deep learning, multi-disease, no manual annotation required</t>
        </is>
      </c>
      <c r="Q25" s="19" t="inlineStr">
        <is>
          <t>Our project does not yet have CBCT-based validation</t>
        </is>
      </c>
      <c r="R25" s="19" t="inlineStr">
        <is>
          <t>C2 – Periodontal Disease &amp; Bone Loss</t>
        </is>
      </c>
      <c r="S25" s="19" t="n"/>
      <c r="T25" s="19" t="n"/>
      <c r="U25" s="19" t="n"/>
      <c r="V25" s="19" t="n"/>
    </row>
    <row r="26">
      <c r="A26" s="19" t="inlineStr">
        <is>
          <t>Paper 25</t>
        </is>
      </c>
      <c r="B26" s="19" t="inlineStr">
        <is>
          <t>Evaluation by Dental Professionals of an Artificial Intelligence-Based Application to Measure Alveolar Bone Loss</t>
        </is>
      </c>
      <c r="C26" s="19" t="inlineStr">
        <is>
          <t>BMC Oral Health</t>
        </is>
      </c>
      <c r="D26" s="19" t="n">
        <v>2025</v>
      </c>
      <c r="E26" s="19" t="inlineStr">
        <is>
          <t>Sang Won Lee et al.</t>
        </is>
      </c>
      <c r="F26" s="18" t="inlineStr">
        <is>
          <t>Evaluation by dental professionals of an artificial intelligence-based application to measure alveolar bone loss | BMC Oral Health | Springer Nature Link</t>
        </is>
      </c>
      <c r="G26" s="19" t="inlineStr">
        <is>
          <t>Faster R-CNN (Inception-ResNet-v2), DeepLab v3+ CNN ensemble</t>
        </is>
      </c>
      <c r="H26" s="19" t="inlineStr">
        <is>
          <t>Bitewing radiographs from Columbia University</t>
        </is>
      </c>
      <c r="I26" s="19" t="inlineStr">
        <is>
          <t>550 bitewing images (387 patients)</t>
        </is>
      </c>
      <c r="J26" s="19" t="inlineStr">
        <is>
          <t>Accuracy, AP, ICC, user survey stats</t>
        </is>
      </c>
      <c r="K26" s="19" t="inlineStr">
        <is>
          <t>AI accuracy = 82–87% for severe bone loss</t>
        </is>
      </c>
      <c r="L26" s="19" t="inlineStr">
        <is>
          <t>Train/val/test split; expert annotations; survey of 65 dentists</t>
        </is>
      </c>
      <c r="M26" s="19" t="inlineStr">
        <is>
          <t>Not reported in paper</t>
        </is>
      </c>
      <c r="N26" s="19" t="inlineStr">
        <is>
          <t>Limited to bitewing; no panoramic; no multi-disease; no prognosis; no explainability</t>
        </is>
      </c>
      <c r="O26" s="19" t="inlineStr">
        <is>
          <t>Need panoramic-based systems; multi-task disease diagnosis; integration into real clinical workflow</t>
        </is>
      </c>
      <c r="P26" s="19" t="inlineStr">
        <is>
          <t>Our system uses panoramic + bitewing, includes segmentation, prognosis, and educational summaries</t>
        </is>
      </c>
      <c r="Q26" s="19" t="inlineStr">
        <is>
          <t>Our project lacks user-based clinical usability studies</t>
        </is>
      </c>
      <c r="R26" s="19" t="inlineStr">
        <is>
          <t>C2 – Periodontal Disease &amp; Bone Loss</t>
        </is>
      </c>
      <c r="S26" s="19" t="inlineStr">
        <is>
          <t>c4</t>
        </is>
      </c>
      <c r="T26" s="19" t="n"/>
      <c r="U26" s="19" t="n"/>
      <c r="V26" s="19" t="n"/>
    </row>
    <row r="27">
      <c r="A27" s="19" t="inlineStr">
        <is>
          <t>Paper 26</t>
        </is>
      </c>
      <c r="B27" s="19" t="inlineStr">
        <is>
          <t>Determining the Efficacy of a Machine Learning Model for Measuring Periodontal Bone Loss</t>
        </is>
      </c>
      <c r="C27" s="19" t="inlineStr">
        <is>
          <t>BMC Oral Health</t>
        </is>
      </c>
      <c r="D27" s="19" t="n">
        <v>2024</v>
      </c>
      <c r="E27" s="19" t="inlineStr">
        <is>
          <t>Diego Cerda Mardini, Patricio Cerda Mardini, Daniela Paz Vicuña Iturriaga, Duniel Ricardo Ortuño Borroto</t>
        </is>
      </c>
      <c r="F27" s="18" t="inlineStr">
        <is>
          <t>“Determining the efficacy of a machine learning model for measuring periodontal bone loss” | BMC Oral Health</t>
        </is>
      </c>
      <c r="G27" s="19" t="inlineStr">
        <is>
          <t>Hybrid model: Statistical inference + DCNN (Xception-based) + rule-based PBL algorithm</t>
        </is>
      </c>
      <c r="H27" s="19" t="inlineStr">
        <is>
          <t>Panoramic radiographs from Chile + Tufts University public dataset</t>
        </is>
      </c>
      <c r="I27" s="19" t="inlineStr">
        <is>
          <t>2010 segmented molar images (1970 train, 40 test) from 500 original panoramic X-rays</t>
        </is>
      </c>
      <c r="J27" s="19" t="inlineStr">
        <is>
          <t>Sensitivity, Specificity, Precision, F1-score, weighted averages</t>
        </is>
      </c>
      <c r="K27" s="19" t="inlineStr">
        <is>
          <t>Weighted F1-score = 0.29 (light–moderate PBL); Severe PBL F1 = 0</t>
        </is>
      </c>
      <c r="L27" s="19" t="inlineStr">
        <is>
          <t>Internal validation; comparison with 2 radiologists, 2 periodontists, 1 dentist</t>
        </is>
      </c>
      <c r="M27" s="19" t="inlineStr">
        <is>
          <t>Not reported in paper</t>
        </is>
      </c>
      <c r="N27" s="19" t="inlineStr">
        <is>
          <t>Cannot detect severe PBL; only molars; low sensitivity; no full panoramic analysis; no segmentation masks; not multi-disease</t>
        </is>
      </c>
      <c r="O27" s="19" t="inlineStr">
        <is>
          <t>Need improved performance for severe PBL; extend to full dentition; robust DL-only pipeline</t>
        </is>
      </c>
      <c r="P27" s="19" t="inlineStr">
        <is>
          <t>Our system performs full panoramic segmentation, multi-disease diagnosis, bone loss masks, severity grading, and prognosis</t>
        </is>
      </c>
      <c r="Q27" s="19" t="inlineStr">
        <is>
          <t>Our project lacks human-comparison clinical study and statistical benchmarking</t>
        </is>
      </c>
      <c r="R27" s="19" t="inlineStr">
        <is>
          <t>C2 – Periodontal Disease &amp; Bone Loss</t>
        </is>
      </c>
      <c r="S27" s="19" t="n"/>
      <c r="T27" s="19" t="n"/>
      <c r="U27" s="19" t="n"/>
    </row>
    <row r="28">
      <c r="A28" s="19" t="inlineStr">
        <is>
          <t>Paper 27</t>
        </is>
      </c>
      <c r="B28" s="19" t="inlineStr">
        <is>
          <t>AI-assisted Radiographic Analysis in Detecting Alveolar Bone-Loss Severity and Patterns</t>
        </is>
      </c>
      <c r="C28" s="19" t="inlineStr">
        <is>
          <t>arXiv (Computer Vision)</t>
        </is>
      </c>
      <c r="D28" s="19" t="n">
        <v>2025</v>
      </c>
      <c r="E28" s="19" t="inlineStr">
        <is>
          <t>Chathura Wimalasiri et al.</t>
        </is>
      </c>
      <c r="F28" s="18" t="inlineStr">
        <is>
          <t>[2506.20522] AI-assisted radiographic analysis in detecting alveolar bone-loss severity and patterns</t>
        </is>
      </c>
      <c r="G28" s="19" t="inlineStr">
        <is>
          <t>YOLOv8x, Keypoint R-CNN (ResNet-50 + FPN), YOLOv8x-seg</t>
        </is>
      </c>
      <c r="H28" s="19" t="inlineStr">
        <is>
          <t>DenPAR dataset (IOPA radiographs)</t>
        </is>
      </c>
      <c r="I28" s="19" t="inlineStr">
        <is>
          <t>1000 intraoral periapical X-rays</t>
        </is>
      </c>
      <c r="J28" s="19" t="inlineStr">
        <is>
          <t>ICC, Accuracy</t>
        </is>
      </c>
      <c r="K28" s="19" t="inlineStr">
        <is>
          <t>ICC = 0.80 (severity), Pattern classification accuracy = 87%</t>
        </is>
      </c>
      <c r="L28" s="19" t="inlineStr">
        <is>
          <t>Train/val/test split (65/15/20); expert-annotated dataset</t>
        </is>
      </c>
      <c r="M28" s="19" t="inlineStr">
        <is>
          <t>Not reported in paper</t>
        </is>
      </c>
      <c r="N28" s="19" t="inlineStr">
        <is>
          <t>Only intraoral periapical X-rays; no panoramic; no caries; no prognosis; no explainability</t>
        </is>
      </c>
      <c r="O28" s="19" t="inlineStr">
        <is>
          <t>Need panoramic-based system; integrate multi-disease diagnosis; clinical usability evaluation</t>
        </is>
      </c>
      <c r="P28" s="19" t="inlineStr">
        <is>
          <t>Our system uses panoramic + bitewing, includes caries detection, segmentation, prognosis, and XAI</t>
        </is>
      </c>
      <c r="Q28" s="19" t="inlineStr">
        <is>
          <t>Our project does not yet perform bone loss pattern classification (horizontal/vertical)</t>
        </is>
      </c>
      <c r="R28" s="19" t="inlineStr">
        <is>
          <t>C2 – Periodontal Disease &amp; Bone Loss</t>
        </is>
      </c>
      <c r="S28" s="49" t="inlineStr">
        <is>
          <t>c3</t>
        </is>
      </c>
      <c r="T28" s="19" t="n"/>
      <c r="U28" s="19" t="n"/>
      <c r="V28" s="19" t="n"/>
      <c r="W28" s="19" t="n"/>
      <c r="X28" s="19" t="n"/>
      <c r="Y28" s="19" t="n"/>
      <c r="Z28" s="19" t="n"/>
      <c r="AA28" s="19" t="n"/>
      <c r="AB28" s="19" t="n"/>
      <c r="AC28" s="19" t="n"/>
    </row>
    <row r="29">
      <c r="A29" s="19" t="inlineStr">
        <is>
          <t>Paper 28</t>
        </is>
      </c>
      <c r="B29" s="19" t="inlineStr">
        <is>
          <t>Integrating Super-Resolution with Deep Learning for Enhanced Periodontal Bone Loss Segmentation in Panoramic Radiographs</t>
        </is>
      </c>
      <c r="C29" s="19" t="inlineStr">
        <is>
          <t>Bioengineering (MDPI)</t>
        </is>
      </c>
      <c r="D29" s="19" t="n">
        <v>2024</v>
      </c>
      <c r="E29" s="19" t="inlineStr">
        <is>
          <t>Vungsovanreach Kong, Eun Young Lee, Kyung Ah Kim, Ho Sun Shon</t>
        </is>
      </c>
      <c r="F29" s="18" t="inlineStr">
        <is>
          <t>Integrating Super-Resolution with Deep Learning for Enhanced Periodontal Bone Loss Segmentation in Panoramic Radiographs</t>
        </is>
      </c>
      <c r="G29" s="19" t="inlineStr">
        <is>
          <t>SRGAN (ResNet generator) + U-Net</t>
        </is>
      </c>
      <c r="H29" s="19" t="inlineStr">
        <is>
          <t>CBNUH Hospital + Kaggle public dataset</t>
        </is>
      </c>
      <c r="I29" s="19" t="inlineStr">
        <is>
          <t>100 CBNUH + 598 Kaggle (augmented to 600)</t>
        </is>
      </c>
      <c r="J29" s="19" t="inlineStr">
        <is>
          <t>PSNR, SSIM, Dice, IoU</t>
        </is>
      </c>
      <c r="K29" s="19" t="inlineStr">
        <is>
          <t>Dice = 0.91, IoU = 84.9% (SRGAN+U-Net)</t>
        </is>
      </c>
      <c r="L29" s="19" t="inlineStr">
        <is>
          <t>Train/test split (70/30); manual mask labels</t>
        </is>
      </c>
      <c r="M29" s="19" t="inlineStr">
        <is>
          <t>Not reported in paper</t>
        </is>
      </c>
      <c r="N29" s="19" t="inlineStr">
        <is>
          <t>Only segmentation; no detection; no severity grading; no multi-disease; small dataset</t>
        </is>
      </c>
      <c r="O29" s="19" t="inlineStr">
        <is>
          <t>Need larger diverse datasets; integrate detection + clinical interpretation</t>
        </is>
      </c>
      <c r="P29" s="19" t="inlineStr">
        <is>
          <t>Our system performs detection + grading + prognosis + multi-task diagnosis</t>
        </is>
      </c>
      <c r="Q29" s="19" t="inlineStr">
        <is>
          <t>Our project does not use super-resolution and may have lower segmentation quality</t>
        </is>
      </c>
      <c r="R29" s="19" t="inlineStr">
        <is>
          <t>C2 – Periodontal Disease &amp; Bone Loss</t>
        </is>
      </c>
      <c r="S29" s="19" t="inlineStr">
        <is>
          <t>C6</t>
        </is>
      </c>
      <c r="T29" s="19" t="n"/>
      <c r="U29" s="19" t="n"/>
    </row>
    <row r="30">
      <c r="A30" s="19" t="inlineStr">
        <is>
          <t>Paper 29</t>
        </is>
      </c>
      <c r="B30" s="19" t="inlineStr">
        <is>
          <t>Applications of Deep Learning in Periodontal Disease Diagnosis and Management: A Systematic Review and Critical Appraisal</t>
        </is>
      </c>
      <c r="C30" s="19" t="inlineStr">
        <is>
          <t>Journal of Medical Artificial Intelligence (AME)</t>
        </is>
      </c>
      <c r="D30" s="19" t="n">
        <v>2025</v>
      </c>
      <c r="E30" s="19" t="inlineStr">
        <is>
          <t>Elisabetta Ferrara, Biagio Rapone, Alessandro D’Albenzio</t>
        </is>
      </c>
      <c r="F30" s="18" t="inlineStr">
        <is>
          <t>Applications of deep learning in periodontal disease diagnosis and management: a systematic review and critical appraisal</t>
        </is>
      </c>
      <c r="G30" s="19" t="inlineStr">
        <is>
          <t>CNNs and hybrid deep learning architectures (across reviewed studies; no single model proposed)</t>
        </is>
      </c>
      <c r="H30" s="19" t="inlineStr">
        <is>
          <t>13 studies using panoramic, periapical radiographs and clinical datasets</t>
        </is>
      </c>
      <c r="I30" s="19" t="inlineStr">
        <is>
          <t>Per study: 50–4,545 images (no unified dataset)</t>
        </is>
      </c>
      <c r="J30" s="19" t="inlineStr">
        <is>
          <t>Accuracy, Dice, ICC, Sensitivity, Specificity</t>
        </is>
      </c>
      <c r="K30" s="19" t="inlineStr">
        <is>
          <t>Reported range: Accuracy 73.0% – 98.6%; best Dice = 0.93 for bone level detection; ICC = 0.91 with radiologists</t>
        </is>
      </c>
      <c r="L30" s="19" t="inlineStr">
        <is>
          <t>PRISMA systematic review; QUADAS-2 quality assessment</t>
        </is>
      </c>
      <c r="M30" s="19" t="inlineStr">
        <is>
          <t>Not reported in paper</t>
        </is>
      </c>
      <c r="N30" s="19" t="inlineStr">
        <is>
          <t>High heterogeneity; poor generalizability across populations; lack of standardized datasets; limited external clinical validation; absence of explainable AI</t>
        </is>
      </c>
      <c r="O30" s="19" t="inlineStr">
        <is>
          <t>Need diverse multi-institutional datasets; standardized evaluation metrics; integration of multimodal data; rigorous clinical validation</t>
        </is>
      </c>
      <c r="P30" s="19" t="inlineStr">
        <is>
          <t>Our system is end-to-end multi-task system with detection, segmentation, grading, prognosis and explainability, while this paper is only a review of single-task systems</t>
        </is>
      </c>
      <c r="Q30" s="19" t="inlineStr">
        <is>
          <t>Our project lacks systematic review-level evidence and pooled diagnostic statistics</t>
        </is>
      </c>
      <c r="R30" s="19" t="inlineStr">
        <is>
          <t>C2 – Periodontal Disease &amp; Bone Loss</t>
        </is>
      </c>
      <c r="S30" s="19" t="inlineStr">
        <is>
          <t>c5</t>
        </is>
      </c>
      <c r="T30" s="19" t="n"/>
      <c r="U30" s="19" t="n"/>
      <c r="V30" s="19" t="n"/>
      <c r="W30" s="19" t="n"/>
      <c r="X30" s="19" t="n"/>
      <c r="Y30" s="19" t="n"/>
      <c r="Z30" s="19" t="n"/>
      <c r="AA30" s="19" t="n"/>
      <c r="AB30" s="19" t="n"/>
      <c r="AC30" s="19" t="n"/>
    </row>
    <row r="31">
      <c r="A31" s="19" t="inlineStr">
        <is>
          <t>Paper 30</t>
        </is>
      </c>
      <c r="B31" s="19" t="inlineStr">
        <is>
          <t>PDCNET: Deep Convolutional Neural Network for Classification of Periodontal Disease Using Dental Radiographs</t>
        </is>
      </c>
      <c r="C31" s="19" t="inlineStr">
        <is>
          <t>IEEE Access</t>
        </is>
      </c>
      <c r="D31" s="19" t="n">
        <v>2024</v>
      </c>
      <c r="E31" s="19" t="inlineStr">
        <is>
          <t>Anas Bilal, Ali Haider Khan, Khalid Almohammadi, Sami A. Al Ghamdi, Haixia Long, Hassaan Malik</t>
        </is>
      </c>
      <c r="F31" s="18" t="inlineStr">
        <is>
          <t>PDCNET: Deep Convolutional Neural Network for Classification of Periodontal Disease Using Dental Radiographs</t>
        </is>
      </c>
      <c r="G31" s="19" t="inlineStr">
        <is>
          <t>PDCNET (custom CNN with 5 convolutional blocks, ReLU, MaxPool, Dense, Softmax); compared with EfficientNet-B0, DenseNet-201, VGG-16, VGG-19, Inception-V3, MobileNet</t>
        </is>
      </c>
      <c r="H31" s="19" t="inlineStr">
        <is>
          <t>Kaggle periodontal dataset + tooth decay dataset</t>
        </is>
      </c>
      <c r="I31" s="19" t="inlineStr">
        <is>
          <t>50 periodontal + 50 non-periodontal + 926 tooth decay images (before SMOTE)</t>
        </is>
      </c>
      <c r="J31" s="19" t="inlineStr">
        <is>
          <t>Accuracy, AUC, Precision, Recall, F1-score</t>
        </is>
      </c>
      <c r="K31" s="19" t="inlineStr">
        <is>
          <t>Best: Accuracy = 98.39%, AUC = 99.79%, F1 = 98.31%</t>
        </is>
      </c>
      <c r="L31" s="19" t="inlineStr">
        <is>
          <t>Train/validation split; internal validation only; SMOTE-Tomek upsampling</t>
        </is>
      </c>
      <c r="M31" s="19" t="inlineStr">
        <is>
          <t>Grad-CAM heatmaps used</t>
        </is>
      </c>
      <c r="N31" s="19" t="inlineStr">
        <is>
          <t>Binary/3-class classification only; no lesion localization; no segmentation; no bone loss quantification; no panoramic focus</t>
        </is>
      </c>
      <c r="O31" s="19" t="inlineStr">
        <is>
          <t>Need lesion-level detection; quantitative bone loss estimation; real clinical datasets; multi-task diagnosis</t>
        </is>
      </c>
      <c r="P31" s="19" t="inlineStr">
        <is>
          <t>Our system performs object detection, segmentation, grading, prognosis, and supports panoramic + bitewing images</t>
        </is>
      </c>
      <c r="Q31" s="19" t="inlineStr">
        <is>
          <t>Our project lacks extremely high classification accuracy and does not yet use data balancing like SMOTE</t>
        </is>
      </c>
      <c r="R31" s="19" t="inlineStr">
        <is>
          <t>C2 – Periodontal Disease &amp; Bone Loss</t>
        </is>
      </c>
      <c r="S31" s="54" t="inlineStr">
        <is>
          <t xml:space="preserve">c1,c2,c4 </t>
        </is>
      </c>
      <c r="T31" s="19" t="n"/>
      <c r="U31" s="19" t="n"/>
      <c r="V31" s="19" t="n"/>
      <c r="W31" s="19" t="n"/>
      <c r="X31" s="19" t="n"/>
      <c r="Y31" s="19" t="n"/>
      <c r="Z31" s="19" t="n"/>
      <c r="AA31" s="19" t="n"/>
      <c r="AB31" s="19" t="n"/>
      <c r="AC31" s="19" t="n"/>
    </row>
    <row r="32">
      <c r="A32" s="19" t="inlineStr">
        <is>
          <t>Paper 31</t>
        </is>
      </c>
      <c r="B32" s="19" t="inlineStr">
        <is>
          <t>AI-powered precision in dental radiographic analysis using tailored CNNs for tooth numbering and cavity detection</t>
        </is>
      </c>
      <c r="C32" s="19" t="inlineStr">
        <is>
          <t>PLOS Digital Health</t>
        </is>
      </c>
      <c r="D32" s="19" t="n">
        <v>2025</v>
      </c>
      <c r="E32" s="19" t="inlineStr">
        <is>
          <t>Breno Guerra Zancan, José Andery Carneiro, Caio Uehara Martins, Camila Tirapelli, Camila Porto Capel, Eliana Dantas da Costa, Hugo Gaêta-Araujo, José Augusto Baranauskas, Alessandra Alaniz Macedo</t>
        </is>
      </c>
      <c r="F32" s="18" t="inlineStr">
        <is>
          <t>AI-powered precision in dental radiographic analysis using tailored CNNs for tooth numbering and cavity detection - PMC</t>
        </is>
      </c>
      <c r="G32" s="19" t="inlineStr">
        <is>
          <t>Inception-v3, InceptionResNet-v2 (transfer learning, Keras, ImageNet weights)</t>
        </is>
      </c>
      <c r="H32" s="19" t="inlineStr">
        <is>
          <t>FD dataset (private, Brazil) + PD dataset (DENTEX public)</t>
        </is>
      </c>
      <c r="I32" s="19" t="inlineStr">
        <is>
          <t>FD: 935 PANs → 18,836 teeth; Caries task: 7,304 tooth images (3,652 cavitated + 3,652 non-cavitated)</t>
        </is>
      </c>
      <c r="J32" s="19" t="inlineStr">
        <is>
          <t>Precision, Recall, Accuracy, Specificity, F1-score</t>
        </is>
      </c>
      <c r="K32" s="19" t="inlineStr">
        <is>
          <t>Tooth numbering (InceptionResNet-v2): Accuracy = 0.9988, F1 = 0.9788; Caries detection: Accuracy = 0.94, F1 = 0.94</t>
        </is>
      </c>
      <c r="L32" s="19" t="inlineStr">
        <is>
          <t>Five-fold cross-validation; Wilcoxon signed-rank test; Benjamini–Hochberg FDR correction</t>
        </is>
      </c>
      <c r="M32" s="19" t="inlineStr">
        <is>
          <t>Not reported in paper</t>
        </is>
      </c>
      <c r="N32" s="19" t="inlineStr">
        <is>
          <t>Only classification (no bounding boxes or segmentation masks); no periodontal analysis; no bone loss estimation; no prognosis; panoramic only; no clinical deployment</t>
        </is>
      </c>
      <c r="O32" s="19" t="inlineStr">
        <is>
          <t>Need lesion-level localization, quantitative disease assessment, multi-disease diagnosis, clinical decision support</t>
        </is>
      </c>
      <c r="P32" s="19" t="inlineStr">
        <is>
          <t>Our system performs object detection, severity grading, periodontal segmentation, bone loss estimation, prognosis, and XAI</t>
        </is>
      </c>
      <c r="Q32" s="19" t="inlineStr">
        <is>
          <t>Our project does not yet achieve such high classification accuracy and lacks 5-fold CV statistical testing</t>
        </is>
      </c>
      <c r="R32" s="19" t="inlineStr">
        <is>
          <t>C1 – Caries Detection &amp; Severity</t>
        </is>
      </c>
      <c r="S32" s="19" t="n"/>
      <c r="T32" s="19" t="n"/>
      <c r="U32" s="19" t="n"/>
      <c r="V32" s="19" t="n"/>
      <c r="W32" s="19" t="n"/>
      <c r="X32" s="19" t="n"/>
      <c r="Y32" s="19" t="n"/>
      <c r="Z32" s="19" t="n"/>
      <c r="AA32" s="19" t="n"/>
      <c r="AB32" s="19" t="n"/>
      <c r="AC32" s="19" t="n"/>
    </row>
    <row r="33" ht="112.5" customHeight="1" s="59">
      <c r="A33" s="19" t="inlineStr">
        <is>
          <t>Paper 32</t>
        </is>
      </c>
      <c r="B33" s="19" t="inlineStr">
        <is>
          <t>Synthetic Orthopantomography Image Generation Using Generative Adversarial Networks for Data Augmentation</t>
        </is>
      </c>
      <c r="C33" s="19" t="inlineStr">
        <is>
          <t>International Dental Journal (Elsevier)</t>
        </is>
      </c>
      <c r="D33" s="19" t="n">
        <v>2025</v>
      </c>
      <c r="E33" s="19" t="inlineStr">
        <is>
          <t>Maria Waqas, Shehzad Hasan, Ammar Farid Ghori, Amal Alfaraj, Muhammad Faheemuddin, Zohaib Khurshid</t>
        </is>
      </c>
      <c r="F33" s="18" t="inlineStr">
        <is>
          <t>Synthetic Orthopantomography Image Generation Using Generative Adversarial Networks for Data Augmentation - ScienceDirect</t>
        </is>
      </c>
      <c r="G33" s="19" t="inlineStr">
        <is>
          <t>GAN variants: DCGAN, WGAN (4 shortlisted models: M1–M4)</t>
        </is>
      </c>
      <c r="H33" s="19" t="inlineStr">
        <is>
          <t>Private clinical OPGs from Pakistan, Thailand + Tufts Dental Database (USA)</t>
        </is>
      </c>
      <c r="I33" s="19" t="inlineStr">
        <is>
          <t>4,777 real OPG images (Pakistan 3,209; Thailand 568; USA 1,000); 1,000 synthetic images per GAN model</t>
        </is>
      </c>
      <c r="J33" s="19" t="inlineStr">
        <is>
          <t>mAP (YOLO detector), expert dentist realism scores</t>
        </is>
      </c>
      <c r="K33" s="19" t="inlineStr">
        <is>
          <t>YOLO detector achieved strong mAP on synthetic data; Expert realism &gt;50% of real-image scores (M1, M3 best)</t>
        </is>
      </c>
      <c r="L33" s="19" t="inlineStr">
        <is>
          <t>Automated validation using YOLO object detector + manual evaluation by expert dentists</t>
        </is>
      </c>
      <c r="M33" s="19" t="inlineStr">
        <is>
          <t>Not reported in paper</t>
        </is>
      </c>
      <c r="N33" s="19" t="inlineStr">
        <is>
          <t>No disease detection or diagnosis; synthetic data only; no clinical performance metrics; no segmentation or grading</t>
        </is>
      </c>
      <c r="O33" s="19" t="inlineStr">
        <is>
          <t>Need task-specific disease datasets; integrate synthetic data into diagnostic pipelines</t>
        </is>
      </c>
      <c r="P33" s="19" t="inlineStr">
        <is>
          <t>Our system performs real clinical diagnosis tasks (caries + periodontal), not just data generation</t>
        </is>
      </c>
      <c r="Q33" s="19" t="inlineStr">
        <is>
          <t>Our project does not generate synthetic datasets for large-scale augmentation</t>
        </is>
      </c>
      <c r="R33" s="19" t="inlineStr">
        <is>
          <t>C5 – Datasets &amp; Clinical Validation</t>
        </is>
      </c>
      <c r="S33" s="19" t="n"/>
      <c r="T33" s="19" t="n"/>
      <c r="U33" s="19" t="n"/>
      <c r="V33" s="19" t="n"/>
      <c r="W33" s="19" t="n"/>
      <c r="X33" s="19" t="n"/>
      <c r="Y33" s="19" t="n"/>
      <c r="Z33" s="19" t="n"/>
      <c r="AA33" s="19" t="n"/>
      <c r="AB33" s="19" t="n"/>
      <c r="AC33" s="19" t="n"/>
    </row>
    <row r="34">
      <c r="A34" s="19" t="inlineStr">
        <is>
          <t>Paper 33</t>
        </is>
      </c>
      <c r="B34" s="19" t="inlineStr">
        <is>
          <t>Dual convolutional neural network framework for segmenting dental caries in panoramic radiographs</t>
        </is>
      </c>
      <c r="C34" s="19" t="inlineStr">
        <is>
          <t>The Journal of Prosthetic Dentistry</t>
        </is>
      </c>
      <c r="D34" s="19" t="n">
        <v>2024</v>
      </c>
      <c r="E34" s="19" t="inlineStr">
        <is>
          <t>Yeong-Su Lim, Dohyun Chun, Jihun Kim, Jong-yeol Lee, Myeong Jin Ju, Jae Hyung Park, Hee-Jae Jeon (Article in Press)</t>
        </is>
      </c>
      <c r="F34" s="14" t="inlineStr">
        <is>
          <t>Dual convolutional neural network framework for segmenting dental caries in panoramic radiographs - ScienceDirect</t>
        </is>
      </c>
      <c r="G34" s="19" t="inlineStr">
        <is>
          <t>Faster R-CNN (MobilenetV2 backbone) for tooth detection + U-Net (EfficientNet-B0 encoder) for caries segmentation</t>
        </is>
      </c>
      <c r="H34" s="19" t="inlineStr">
        <is>
          <t>Open-source dataset from Zhejiang Provincial People’s Hospital (China)</t>
        </is>
      </c>
      <c r="I34" s="19" t="inlineStr">
        <is>
          <t>597 panoramic radiographs (443 train, 50 val, 100 test); U-Net trained on 33,752 cropped tooth images after augmentation</t>
        </is>
      </c>
      <c r="J34" s="19" t="inlineStr">
        <is>
          <t>IoU, Dice, Recall, Precision, AP</t>
        </is>
      </c>
      <c r="K34" s="19" t="inlineStr">
        <is>
          <t>IoU = 0.608; Dice = 0.743; Recall = 0.731; Precision = 0.788</t>
        </is>
      </c>
      <c r="L34" s="19" t="inlineStr">
        <is>
          <t>Train/validation/test split at image level; paired t-test for statistical significance</t>
        </is>
      </c>
      <c r="M34" s="19" t="inlineStr">
        <is>
          <t>Not reported in paper</t>
        </is>
      </c>
      <c r="N34" s="19" t="inlineStr">
        <is>
          <t>Only caries segmentation; no periodontal disease; panoramic only; no severity grading; no prognosis; no explainability</t>
        </is>
      </c>
      <c r="O34" s="19" t="inlineStr">
        <is>
          <t>Need multi-disease diagnosis and clinical decision support beyond caries segmentation</t>
        </is>
      </c>
      <c r="P34" s="19" t="inlineStr">
        <is>
          <t>Our system adds caries detection + severity grading + periodontal segmentation + bone loss estimation + prognosis + XAI</t>
        </is>
      </c>
      <c r="Q34" s="19" t="inlineStr">
        <is>
          <t>Our project lacks such large augmented pixel-level dataset and does not yet report IoU/Dice for segmentation</t>
        </is>
      </c>
      <c r="R34" s="19" t="inlineStr">
        <is>
          <t>C1 – Caries Detection &amp; Severity</t>
        </is>
      </c>
      <c r="S34" s="19" t="inlineStr">
        <is>
          <t>C6</t>
        </is>
      </c>
      <c r="T34" s="19" t="n"/>
      <c r="U34" s="19" t="n"/>
      <c r="V34" s="19" t="n"/>
      <c r="W34" s="19" t="n"/>
      <c r="X34" s="19" t="n"/>
      <c r="Y34" s="19" t="n"/>
      <c r="Z34" s="19" t="n"/>
      <c r="AA34" s="19" t="n"/>
      <c r="AB34" s="19" t="n"/>
      <c r="AC34" s="19" t="n"/>
    </row>
    <row r="35">
      <c r="A35" s="19" t="inlineStr">
        <is>
          <t>Paper 34</t>
        </is>
      </c>
      <c r="B35" s="19" t="inlineStr">
        <is>
          <t>A Systematic Review on Caries Detection, Classification, and Segmentation from X-Ray Images</t>
        </is>
      </c>
      <c r="C35" s="19" t="inlineStr">
        <is>
          <t>Journal of Imaging Informatics in Medicine (Springer)</t>
        </is>
      </c>
      <c r="D35" s="19" t="n">
        <v>2024</v>
      </c>
      <c r="E35" s="19" t="inlineStr">
        <is>
          <t>Luiz G. K. Zanini, Izabel R. F. Rubira-Bullen, Fátima L. S. Nunes</t>
        </is>
      </c>
      <c r="F35" s="14" t="inlineStr">
        <is>
          <t>A Systematic Review on Caries Detection, Classification, and Segmentation from X-Ray Images: Methods, Datasets, Evaluation, and Open Opportunities</t>
        </is>
      </c>
      <c r="G35" s="19" t="inlineStr">
        <is>
          <t>Not reported in paper (review article – multiple models surveyed: U-Net, Mask R-CNN, ResNet, nnU-Net, etc.)</t>
        </is>
      </c>
      <c r="H35" s="19" t="inlineStr">
        <is>
          <t>42 studies from ScienceDirect, IEEE, ACM, PubMed</t>
        </is>
      </c>
      <c r="I35" s="19" t="inlineStr">
        <is>
          <t>Dataset sizes vary (from 80 images to 38,000 images across surveyed studies)</t>
        </is>
      </c>
      <c r="J35" s="19" t="inlineStr">
        <is>
          <t>Various (Accuracy, Dice, IoU, F1, Precision, Recall depending on study)</t>
        </is>
      </c>
      <c r="K35" s="19" t="inlineStr">
        <is>
          <t>Not applicable (review paper)</t>
        </is>
      </c>
      <c r="L35" s="19" t="inlineStr">
        <is>
          <t>PRISMA systematic review methodology</t>
        </is>
      </c>
      <c r="M35" s="19" t="inlineStr">
        <is>
          <t>Not reported in paper</t>
        </is>
      </c>
      <c r="N35" s="19" t="inlineStr">
        <is>
          <t>Review paper only; no new model; no experimental system</t>
        </is>
      </c>
      <c r="O35" s="19" t="inlineStr">
        <is>
          <t>Lack of multi-task systems; limited public datasets; most works single-task; lack of caries severity differentiation</t>
        </is>
      </c>
      <c r="P35" s="19" t="inlineStr">
        <is>
          <t>Our project proposes an actual end-to-end multi-task clinical system instead of a survey</t>
        </is>
      </c>
      <c r="Q35" s="19" t="inlineStr">
        <is>
          <t>Our project lacks the breadth of 42-study meta-analysis</t>
        </is>
      </c>
      <c r="R35" s="19" t="inlineStr">
        <is>
          <t>C1 – Caries Detection &amp; Severity</t>
        </is>
      </c>
      <c r="S35" s="19" t="n"/>
      <c r="T35" s="19" t="n"/>
      <c r="U35" s="19" t="n"/>
      <c r="V35" s="19" t="n"/>
      <c r="W35" s="19" t="n"/>
      <c r="X35" s="19" t="n"/>
      <c r="Y35" s="19" t="n"/>
      <c r="Z35" s="19" t="n"/>
      <c r="AA35" s="19" t="n"/>
      <c r="AB35" s="19" t="n"/>
      <c r="AC35" s="19" t="n"/>
    </row>
    <row r="36">
      <c r="A36" s="19" t="inlineStr">
        <is>
          <t>Paper 35</t>
        </is>
      </c>
      <c r="B36" s="19" t="inlineStr">
        <is>
          <t>Advancing Dental Caries Detection in Panoramic X-rays: A Two-Step Deep Learning Approach</t>
        </is>
      </c>
      <c r="C36" s="19" t="inlineStr">
        <is>
          <t>Informatica Medica Slovenica</t>
        </is>
      </c>
      <c r="D36" s="19" t="n">
        <v>2024</v>
      </c>
      <c r="E36" s="19" t="inlineStr">
        <is>
          <t>Žiga Bizjak, Tina Robič</t>
        </is>
      </c>
      <c r="F36" s="14" t="inlineStr">
        <is>
          <t>Advancing Dental Caries Detection in Panoramic X-rays: A Two-Step Deep Learning Approach</t>
        </is>
      </c>
      <c r="G36" s="19" t="inlineStr">
        <is>
          <t>YOLOv8 (two-step: Teeth Enumeration Model + Caries Detection Model)</t>
        </is>
      </c>
      <c r="H36" s="19" t="inlineStr">
        <is>
          <t>DENTEX public dataset + external Slovenian clinical dataset</t>
        </is>
      </c>
      <c r="I36" s="19" t="inlineStr">
        <is>
          <t>DENTEX: 1005 fully labelled X-rays (2681 carious teeth); External: 85 panoramic X-rays (93 carious teeth)</t>
        </is>
      </c>
      <c r="J36" s="19" t="inlineStr">
        <is>
          <t>mAP@0.5, lesion-level sensitivity, patient-level specificity, false positives/image</t>
        </is>
      </c>
      <c r="K36" s="19" t="inlineStr">
        <is>
          <t>TEM: mAP@0.5 = 0.95; CDM lesion sensitivity = 0.70 (internal), 0.67 (external)</t>
        </is>
      </c>
      <c r="L36" s="19" t="inlineStr">
        <is>
          <t>Internal validation on DENTEX + external validation on real clinic data</t>
        </is>
      </c>
      <c r="M36" s="19" t="inlineStr">
        <is>
          <t>Not reported in paper</t>
        </is>
      </c>
      <c r="N36" s="19" t="inlineStr">
        <is>
          <t>Only caries detection; no segmentation; no periodontal disease; no severity grading beyond deep/normal; no prognosis</t>
        </is>
      </c>
      <c r="O36" s="19" t="inlineStr">
        <is>
          <t>Need multi-disease analysis and segmentation-based assessment</t>
        </is>
      </c>
      <c r="P36" s="19" t="inlineStr">
        <is>
          <t>Our system adds periodontal segmentation, bone loss estimation, severity grading, prognosis, XAI</t>
        </is>
      </c>
      <c r="Q36" s="19" t="inlineStr">
        <is>
          <t>Our project does not yet perform external clinical validation</t>
        </is>
      </c>
      <c r="R36" s="19" t="inlineStr">
        <is>
          <t>C1 – Caries Detection &amp; Severity</t>
        </is>
      </c>
      <c r="S36" s="19" t="n"/>
      <c r="T36" s="19" t="n"/>
      <c r="U36" s="19" t="n"/>
      <c r="V36" s="19" t="n"/>
      <c r="W36" s="19" t="n"/>
      <c r="X36" s="19" t="n"/>
      <c r="Y36" s="19" t="n"/>
      <c r="Z36" s="19" t="n"/>
      <c r="AA36" s="19" t="n"/>
      <c r="AB36" s="19" t="n"/>
      <c r="AC36" s="19" t="n"/>
    </row>
    <row r="37">
      <c r="A37" s="19" t="inlineStr">
        <is>
          <t>Paper 36</t>
        </is>
      </c>
      <c r="B37" s="19" t="inlineStr">
        <is>
          <t>Detection of tooth decay and its severity based on processing of panoramic radiographic images</t>
        </is>
      </c>
      <c r="C37" s="19" t="inlineStr">
        <is>
          <t>ICBIP 2024 – International Conference on Biomedical Signal and Image Processing (ACM)</t>
        </is>
      </c>
      <c r="D37" s="19" t="n">
        <v>2024</v>
      </c>
      <c r="E37" s="19" t="inlineStr">
        <is>
          <t>Parastoo Asadi</t>
        </is>
      </c>
      <c r="F37" s="14" t="inlineStr">
        <is>
          <t>Detection of tooth decay and its severity based on processing of panoramic radiographic images</t>
        </is>
      </c>
      <c r="G37" s="19" t="inlineStr">
        <is>
          <t>Faster R-CNN (Region Proposal Network + CNN classifier)</t>
        </is>
      </c>
      <c r="H37" s="19" t="inlineStr">
        <is>
          <t>UFBA-UESC Dental Images Dataset (Diagnostic Imaging Center of Southwest State University of Bahia)</t>
        </is>
      </c>
      <c r="I37" s="19" t="inlineStr">
        <is>
          <t>1000 panoramic images (750 train, 250 test); originally 4000 available</t>
        </is>
      </c>
      <c r="J37" s="19" t="inlineStr">
        <is>
          <t>Accuracy, Precision, Recall, F0.5-score</t>
        </is>
      </c>
      <c r="K37" s="19" t="inlineStr">
        <is>
          <t>Accuracy = 94%; F0.5 = 0.89 (test set); Recall for mild = 0.64, severe = 0.69</t>
        </is>
      </c>
      <c r="L37" s="19" t="inlineStr">
        <is>
          <t>Hold-out split (75% train / 25% test)</t>
        </is>
      </c>
      <c r="M37" s="19" t="inlineStr">
        <is>
          <t>Not reported in paper</t>
        </is>
      </c>
      <c r="N37" s="19" t="inlineStr">
        <is>
          <t>Uses only single-center dataset; limited dataset size; mild caries detection significantly weaker; panoramic images have low visual quality</t>
        </is>
      </c>
      <c r="O37" s="19" t="inlineStr">
        <is>
          <t>Authors state need for stronger system and improved mild caries detection; need larger dataset and better generalization</t>
        </is>
      </c>
      <c r="P37" s="19" t="inlineStr">
        <is>
          <t>Our system performs multi-task (detection + segmentation + prognosis) vs only detection; uses modern YOLOv8 vs Faster R-CNN; provides periodontal analysis; includes XAI</t>
        </is>
      </c>
      <c r="Q37" s="19" t="inlineStr">
        <is>
          <t>Our project lacks real clinical dataset size (1000+ images) and published benchmark accuracy</t>
        </is>
      </c>
      <c r="R37" s="19" t="inlineStr">
        <is>
          <t>C1 – Caries Detection &amp; Severity</t>
        </is>
      </c>
      <c r="S37" s="19" t="n"/>
      <c r="T37" s="19" t="n"/>
      <c r="U37" s="19" t="n"/>
      <c r="V37" s="19" t="n"/>
      <c r="W37" s="19" t="n"/>
      <c r="X37" s="19" t="n"/>
      <c r="Y37" s="19" t="n"/>
      <c r="Z37" s="19" t="n"/>
      <c r="AA37" s="19" t="n"/>
      <c r="AB37" s="19" t="n"/>
      <c r="AC37" s="19" t="n"/>
    </row>
    <row r="38">
      <c r="A38" s="19" t="inlineStr">
        <is>
          <t>Paper 37</t>
        </is>
      </c>
      <c r="B38" s="19" t="inlineStr">
        <is>
          <t>Panoramic Radiograph-Based Deep Learning Models for Diagnosis and Clinical Decision Support of Furcation Lesions in Primary Molars</t>
        </is>
      </c>
      <c r="C38" s="19" t="inlineStr">
        <is>
          <t>Children (MDPI)</t>
        </is>
      </c>
      <c r="D38" s="19" t="n">
        <v>2025</v>
      </c>
      <c r="E38" s="19" t="inlineStr">
        <is>
          <t>Nevra Karamüftüoğlu, Ayşe Bulut, Murat Akın, Şeref Sağiroğlu</t>
        </is>
      </c>
      <c r="F38" s="14" t="inlineStr">
        <is>
          <t>Panoramic Radiograph-Based Deep Learning Models for Diagnosis and Clinical Decision Support of Furcation Lesions in Primary Molars</t>
        </is>
      </c>
      <c r="G38" s="19" t="inlineStr">
        <is>
          <t>YOLOv12x, RT-DETR-L, RT-DETR-X (transformer-based detector)</t>
        </is>
      </c>
      <c r="H38" s="19" t="inlineStr">
        <is>
          <t>Private pediatric OPG dataset (Öveçler Oral and Dental Health Clinic, Ankara)</t>
        </is>
      </c>
      <c r="I38" s="19" t="inlineStr">
        <is>
          <t>387 panoramic radiographs</t>
        </is>
      </c>
      <c r="J38" s="19" t="inlineStr">
        <is>
          <t>Precision, Recall, mAP@0.5, mAP@0.5–0.95</t>
        </is>
      </c>
      <c r="K38" s="19" t="inlineStr">
        <is>
          <t>RT-DETR-X: mAP@0.5 = 0.434; Recall = 0.483; Precision = 0.440</t>
        </is>
      </c>
      <c r="L38" s="19" t="inlineStr">
        <is>
          <t>Stratified split 70/20/10 (train/val/test)</t>
        </is>
      </c>
      <c r="M38" s="19" t="inlineStr">
        <is>
          <t>Not reported in paper</t>
        </is>
      </c>
      <c r="N38" s="19" t="inlineStr">
        <is>
          <t>Small single-center dataset; modest mAP values; no external validation; no cross-validation</t>
        </is>
      </c>
      <c r="O38" s="19" t="inlineStr">
        <is>
          <t>Authors state need for larger multi-center datasets and external validation</t>
        </is>
      </c>
      <c r="P38" s="19" t="inlineStr">
        <is>
          <t>Our system supports caries + periodontal + prognosis vs only furcation lesions; provides segmentation + grading; uses explainability</t>
        </is>
      </c>
      <c r="Q38" s="19" t="inlineStr">
        <is>
          <t>Our project lacks clinical decision mapping to treatment (root canal vs extraction) and pediatric-specific validation</t>
        </is>
      </c>
      <c r="R38" s="19" t="inlineStr">
        <is>
          <t>C2 – Periodontal Disease &amp; Bone Loss</t>
        </is>
      </c>
      <c r="S38" s="19" t="n"/>
      <c r="T38" s="19" t="n"/>
      <c r="U38" s="19" t="n"/>
      <c r="V38" s="19" t="n"/>
      <c r="W38" s="19" t="n"/>
      <c r="X38" s="19" t="n"/>
      <c r="Y38" s="19" t="n"/>
      <c r="Z38" s="19" t="n"/>
      <c r="AA38" s="19" t="n"/>
      <c r="AB38" s="19" t="n"/>
      <c r="AC38" s="19" t="n"/>
    </row>
    <row r="39">
      <c r="A39" s="19" t="inlineStr">
        <is>
          <t>Paper 38</t>
        </is>
      </c>
      <c r="B39" s="19" t="inlineStr">
        <is>
          <t>Unsupervised few shot learning architecture for diagnosis of periodontal disease in dental panoramic radiographs</t>
        </is>
      </c>
      <c r="C39" s="19" t="inlineStr">
        <is>
          <t>Scientific Reports (Nature)</t>
        </is>
      </c>
      <c r="D39" s="19" t="n">
        <v>2024</v>
      </c>
      <c r="E39" s="19" t="inlineStr">
        <is>
          <t>Min Joo Kim, Sun Geu Chae, Suk Joo Bae, Kyung-Gyun Hwang</t>
        </is>
      </c>
      <c r="F39" s="14" t="inlineStr">
        <is>
          <t>Unsupervised few shot learning architecture for diagnosis of periodontal disease in dental panoramic radiographs | Scientific Reports</t>
        </is>
      </c>
      <c r="G39" s="19" t="inlineStr">
        <is>
          <t>UNet + CVAE (Convolutional Variational Autoencoder) + k-means / DBSCAN / GMM clustering</t>
        </is>
      </c>
      <c r="H39" s="19" t="inlineStr">
        <is>
          <t>Tufts Dental Database (TDD); HUSHDD; NMICDD</t>
        </is>
      </c>
      <c r="I39" s="19" t="inlineStr">
        <is>
          <t>TDD: 1000 images; HUSHDD: 256 images; NMICDD: 116 images (Total = 1372)</t>
        </is>
      </c>
      <c r="J39" s="19" t="inlineStr">
        <is>
          <t>Accuracy</t>
        </is>
      </c>
      <c r="K39" s="19" t="inlineStr">
        <is>
          <t>Up to 14% higher accuracy than supervised ViT (exact numeric value not explicitly reported)</t>
        </is>
      </c>
      <c r="L39" s="19" t="inlineStr">
        <is>
          <t>Cross-dataset validation across 3 datasets</t>
        </is>
      </c>
      <c r="M39" s="19" t="inlineStr">
        <is>
          <t>Not reported in paper</t>
        </is>
      </c>
      <c r="N39" s="19" t="inlineStr">
        <is>
          <t>Unsupervised clusters still require manual labeling for clinical meaning; no real-time deployment; no bounding box outputs</t>
        </is>
      </c>
      <c r="O39" s="19" t="inlineStr">
        <is>
          <t>Authors state need for improved interpretability and real-world clinical integration</t>
        </is>
      </c>
      <c r="P39" s="19" t="inlineStr">
        <is>
          <t>Our system is supervised and provides explicit bounding boxes + segmentation; supports caries + periodontal; produces structured diagnosis</t>
        </is>
      </c>
      <c r="Q39" s="19" t="inlineStr">
        <is>
          <t>Our project depends on labeled data; lacks unsupervised few-shot capability and multi-dataset validation</t>
        </is>
      </c>
      <c r="R39" s="19" t="inlineStr">
        <is>
          <t>C2 – Periodontal Disease &amp; Bone Loss</t>
        </is>
      </c>
      <c r="S39" s="19" t="n"/>
      <c r="T39" s="19" t="n"/>
      <c r="U39" s="19" t="n"/>
      <c r="V39" s="19" t="n"/>
      <c r="W39" s="19" t="n"/>
      <c r="X39" s="19" t="n"/>
      <c r="Y39" s="19" t="n"/>
      <c r="Z39" s="19" t="n"/>
      <c r="AA39" s="19" t="n"/>
      <c r="AB39" s="19" t="n"/>
      <c r="AC39" s="19" t="n"/>
    </row>
    <row r="40">
      <c r="A40" s="19" t="inlineStr">
        <is>
          <t>Paper 39</t>
        </is>
      </c>
      <c r="B40" s="19" t="inlineStr">
        <is>
          <t>Panoramic imaging errors in machine learning model development: a systematic review</t>
        </is>
      </c>
      <c r="C40" s="19" t="inlineStr">
        <is>
          <t>Dentomaxillofacial Radiology (Oxford Univ. Press)</t>
        </is>
      </c>
      <c r="D40" s="19" t="n">
        <v>2024</v>
      </c>
      <c r="E40" s="19" t="inlineStr">
        <is>
          <t>Eduardo Delamare, Xingyue Fu, Zimo Huang, Jinman Kim</t>
        </is>
      </c>
      <c r="F40" s="14" t="inlineStr">
        <is>
          <t>Panoramic imaging errors in machine learning model development: a systematic review | Dentomaxillofacial Radiology | Oxford Academic</t>
        </is>
      </c>
      <c r="G40" s="19" t="inlineStr">
        <is>
          <t>Multiple ML/DL models across reviewed studies: CNNs (VGG-16, VGG-19, GoogLeNet Inception-v3), RCNNs, ANN, MLNN</t>
        </is>
      </c>
      <c r="H40" s="19" t="inlineStr">
        <is>
          <t>41 peer-reviewed PAN-based ML studies (systematic review)</t>
        </is>
      </c>
      <c r="I40" s="19" t="inlineStr">
        <is>
          <t>Per study: varies; review screened 400 papers → 41 included</t>
        </is>
      </c>
      <c r="J40" s="19" t="inlineStr">
        <is>
          <t>Not applicable (review)</t>
        </is>
      </c>
      <c r="K40" s="19" t="inlineStr">
        <is>
          <t>Not applicable (review)</t>
        </is>
      </c>
      <c r="L40" s="19" t="inlineStr">
        <is>
          <t>PRISMA systematic review; qualitative synthesis</t>
        </is>
      </c>
      <c r="M40" s="19" t="inlineStr">
        <is>
          <t>Not reported in paper</t>
        </is>
      </c>
      <c r="N40" s="19" t="inlineStr">
        <is>
          <t>Heterogeneous handling of image quality; inconsistent quality criteria; bias in dataset inclusion/exclusion; lack of standardized PAN quality assessment</t>
        </is>
      </c>
      <c r="O40" s="19" t="inlineStr">
        <is>
          <t>Need standardized PAN image quality protocols; need prospective studies using DL for automated quality assessment; need to study impact of low-quality inputs on model performance</t>
        </is>
      </c>
      <c r="P40" s="19" t="inlineStr">
        <is>
          <t>Our project targets disease diagnosis rather than only data quality management and provides clinical outputs (detection, segmentation, prognosis)</t>
        </is>
      </c>
      <c r="Q40" s="19" t="inlineStr">
        <is>
          <t>Our project does not explicitly implement automated PAN quality assessment module</t>
        </is>
      </c>
      <c r="R40" s="19" t="inlineStr">
        <is>
          <t>C5 – Datasets &amp; Clinical Validation</t>
        </is>
      </c>
      <c r="S40" s="19" t="n"/>
      <c r="T40" s="19" t="n"/>
      <c r="U40" s="19" t="n"/>
      <c r="V40" s="19" t="n"/>
      <c r="W40" s="19" t="n"/>
      <c r="X40" s="19" t="n"/>
      <c r="Y40" s="19" t="n"/>
      <c r="Z40" s="19" t="n"/>
      <c r="AA40" s="19" t="n"/>
      <c r="AB40" s="19" t="n"/>
      <c r="AC40" s="19" t="n"/>
    </row>
    <row r="41">
      <c r="A41" s="19" t="inlineStr">
        <is>
          <t>Paper 40</t>
        </is>
      </c>
      <c r="B41" s="19" t="inlineStr">
        <is>
          <t>Automating Dental Condition Detection on Panoramic Radiographs: Challenges, Pitfalls, and Opportunities</t>
        </is>
      </c>
      <c r="C41" s="19" t="inlineStr">
        <is>
          <t>Diagnostics (MDPI)</t>
        </is>
      </c>
      <c r="D41" s="19" t="n">
        <v>2024</v>
      </c>
      <c r="E41" s="19" t="inlineStr">
        <is>
          <t>Sorana Mureșanu, Mihaela Hedeșiu, Liviu Iacob, Radu Eftimie, Eliza Olariu, Cristian Dinu, Reinhilde Jacobs (TEAM Project Group)</t>
        </is>
      </c>
      <c r="F41" s="14" t="inlineStr">
        <is>
          <t>Automating Dental Condition Detection on Panoramic Radiographs: Challenges, Pitfalls, and Opportunities</t>
        </is>
      </c>
      <c r="G41" s="19" t="inlineStr">
        <is>
          <t>YOLOv8</t>
        </is>
      </c>
      <c r="H41" s="19" t="inlineStr">
        <is>
          <t>Private Romanian clinical dataset</t>
        </is>
      </c>
      <c r="I41" s="19" t="inlineStr">
        <is>
          <t>Internal: 1628 PAN (1375 train, 153 val, 100 test); External: 180 PAN from multiple centers</t>
        </is>
      </c>
      <c r="J41" s="19" t="inlineStr">
        <is>
          <t>Precision, Recall, F1-score</t>
        </is>
      </c>
      <c r="K41" s="19" t="inlineStr">
        <is>
          <t>Internal: F1 = 0.60, Recall = 0.657; External: F1 = 0.47, Recall = 0.451</t>
        </is>
      </c>
      <c r="L41" s="19" t="inlineStr">
        <is>
          <t>Internal train/val/test split + external validation</t>
        </is>
      </c>
      <c r="M41" s="19" t="inlineStr">
        <is>
          <t>Not reported in paper</t>
        </is>
      </c>
      <c r="N41" s="19" t="inlineStr">
        <is>
          <t>Performance drops significantly on external data; limited generalizability; modest results for bone loss and caries; single detection task (no segmentation)</t>
        </is>
      </c>
      <c r="O41" s="19" t="inlineStr">
        <is>
          <t>Need larger multi-center datasets; improve generalizability; integrate better clinical decision mapping</t>
        </is>
      </c>
      <c r="P41" s="19" t="inlineStr">
        <is>
          <t>Our system adds segmentation, severity grading, prognosis, explainability and is multi-task (caries + periodontal)</t>
        </is>
      </c>
      <c r="Q41" s="19" t="inlineStr">
        <is>
          <t>Our project does not yet have external multi-center clinical validation</t>
        </is>
      </c>
      <c r="R41" s="19" t="inlineStr">
        <is>
          <t>C3 – Multi-task / End-to-End OPG Diagnosis</t>
        </is>
      </c>
      <c r="S41" s="19" t="n"/>
      <c r="T41" s="19" t="n"/>
      <c r="U41" s="19" t="n"/>
      <c r="V41" s="19" t="n"/>
      <c r="W41" s="19" t="n"/>
      <c r="X41" s="19" t="n"/>
      <c r="Y41" s="19" t="n"/>
      <c r="Z41" s="19" t="n"/>
      <c r="AA41" s="19" t="n"/>
      <c r="AB41" s="19" t="n"/>
      <c r="AC41" s="19" t="n"/>
    </row>
    <row r="42">
      <c r="A42" s="19" t="inlineStr">
        <is>
          <t>Paper 41</t>
        </is>
      </c>
      <c r="B42" s="19" t="inlineStr">
        <is>
          <t>Deep Learning in Dental Image Analysis: A Systematic Review of Datasets, Methodologies, and Emerging Challenges</t>
        </is>
      </c>
      <c r="C42" s="19" t="inlineStr">
        <is>
          <t>arXiv / Survey (comprehensive peer-reviewed style review)</t>
        </is>
      </c>
      <c r="D42" s="19" t="n">
        <v>2025</v>
      </c>
      <c r="E42" s="19" t="inlineStr">
        <is>
          <t>Zhenhuan Zhou, Jingbo Zhu, Yuchen Zhang, Xiaohang Guan, Peng Wang, Tao Li</t>
        </is>
      </c>
      <c r="F42" s="14" t="inlineStr">
        <is>
          <t>[2510.20634] Deep Learning in Dental Image Analysis: A Systematic Review of Datasets, Methodologies, and Emerging Challenges</t>
        </is>
      </c>
      <c r="G42" s="19" t="inlineStr">
        <is>
          <t>Not reported in paper (review of 211 DL models: CNNs, U-Net variants, Mask R-CNN, YOLO, ViT, etc.)</t>
        </is>
      </c>
      <c r="H42" s="19" t="inlineStr">
        <is>
          <t>260 studies reviewed; 49 public dental datasets</t>
        </is>
      </c>
      <c r="I42" s="19" t="inlineStr">
        <is>
          <t>Dataset sizes vary widely (most &lt;10,000 images; PAN most common modality)</t>
        </is>
      </c>
      <c r="J42" s="19" t="inlineStr">
        <is>
          <t>Not applicable (review)</t>
        </is>
      </c>
      <c r="K42" s="19" t="inlineStr">
        <is>
          <t>Not applicable (review)</t>
        </is>
      </c>
      <c r="L42" s="19" t="inlineStr">
        <is>
          <t>Systematic multi-database survey (Google Scholar, IEEE, Springer, Elsevier, PubMed)</t>
        </is>
      </c>
      <c r="M42" s="19" t="inlineStr">
        <is>
          <t>Not reported in paper</t>
        </is>
      </c>
      <c r="N42" s="19" t="inlineStr">
        <is>
          <t>Field lacks large-scale public datasets; most works single-task; strong regional bias (Asia-dominant); lack of multi-disease, clinically validated systems</t>
        </is>
      </c>
      <c r="O42" s="19" t="inlineStr">
        <is>
          <t>Need multi-task, multi-modal datasets; standardized benchmarks; integration of lesion + anatomical prediction; clinical-grade CAD systems</t>
        </is>
      </c>
      <c r="P42" s="19" t="inlineStr">
        <is>
          <t>Our system proposes end-to-end multi-disease diagnosis with prognosis and explainability, while most reviewed works are single-task</t>
        </is>
      </c>
      <c r="Q42" s="19" t="inlineStr">
        <is>
          <t>Our project does not yet have large public dataset or benchmark-scale evaluation</t>
        </is>
      </c>
      <c r="R42" s="19" t="inlineStr">
        <is>
          <t>C5 – Datasets &amp; Clinical Validation</t>
        </is>
      </c>
      <c r="S42" s="19" t="n"/>
      <c r="T42" s="19" t="n"/>
      <c r="U42" s="19" t="n"/>
      <c r="V42" s="19" t="n"/>
      <c r="W42" s="19" t="n"/>
      <c r="X42" s="19" t="n"/>
      <c r="Y42" s="19" t="n"/>
      <c r="Z42" s="19" t="n"/>
      <c r="AA42" s="19" t="n"/>
      <c r="AB42" s="19" t="n"/>
      <c r="AC42" s="19" t="n"/>
    </row>
    <row r="43">
      <c r="A43" s="19" t="inlineStr">
        <is>
          <t>Paper 42</t>
        </is>
      </c>
      <c r="B43" s="19" t="inlineStr">
        <is>
          <t>A Reliable Multi-Stage System for Tooth Instance Segmentation and Numbering in Panoramic Radiographs</t>
        </is>
      </c>
      <c r="C43" s="19" t="inlineStr">
        <is>
          <t>IEEE Journal of Biomedical and Health Informatics</t>
        </is>
      </c>
      <c r="D43" s="19" t="n">
        <v>2025</v>
      </c>
      <c r="E43" s="19" t="inlineStr">
        <is>
          <t>Yani Zhang, Yuzhou Yu, Qiankun Li, Huabao Chen, Yuci Liang, Junxin Chen, Jiayue Yin</t>
        </is>
      </c>
      <c r="F43" s="14" t="inlineStr">
        <is>
          <t>A Reliable Multi-Stage System for Tooth Instance Segmentation and Numbering in Panoramic Radiographs</t>
        </is>
      </c>
      <c r="G43" s="19" t="inlineStr">
        <is>
          <t>Multi-stage system: MobileNetV3 (supernumerary tooth classifier) + SADP-Net (Mask R-CNN with Swin Transformer backbone, Symmetry-Aware Module, Dual-Branch Pyramid) + YOLOv5 (missing tooth detector)</t>
        </is>
      </c>
      <c r="H43" s="19" t="inlineStr">
        <is>
          <t>Tufts Dental Dataset; O2PR Dataset; Oral Multi-pathology Dataset</t>
        </is>
      </c>
      <c r="I43" s="19" t="inlineStr">
        <is>
          <t>Tufts: 1,000 images; O2PR: 1,996 images; Oral Multi-pathology: 1,000 images</t>
        </is>
      </c>
      <c r="J43" s="19" t="inlineStr">
        <is>
          <t>mAP, AP50, AP75, Accuracy, Recall, F1-score (COCO metrics)</t>
        </is>
      </c>
      <c r="K43" s="19" t="inlineStr">
        <is>
          <t>Tufts: mAP 66.2%, AP50 97.3%, AP75 85.3%; O2PR: mAP 77.4%, AP50 98.1%, AP75 92.0%</t>
        </is>
      </c>
      <c r="L43" s="19" t="inlineStr">
        <is>
          <t>Train/Validation/Test split (Tufts: 70/10/20; O2PR: 85/15; Oral dataset: 70/10/20)</t>
        </is>
      </c>
      <c r="M43" s="19" t="inlineStr">
        <is>
          <t>Nil (no Grad-CAM/attention visualization for interpretability, only architectural symmetry modeling)</t>
        </is>
      </c>
      <c r="N43" s="19" t="inlineStr">
        <is>
          <t>Limited performance of missing tooth detector (YOLOv5 AP50 only 60.4%); system still computationally heavy; focuses only on segmentation &amp; numbering, not disease diagnosis</t>
        </is>
      </c>
      <c r="O43" s="19" t="inlineStr">
        <is>
          <t>Authors state future work: improve missing tooth module integration; extend to pediatric/mixed dentition; integrate multimodal data (e.g., intraoral scans); longitudinal analysis</t>
        </is>
      </c>
      <c r="P43" s="19" t="inlineStr">
        <is>
          <t>Our system performs multi-disease diagnosis (caries + periodontal), not just tooth segmentation/numbering; uses modern YOLOv8 for real-time caries detection; includes severity grading, bone loss estimation, and clinical summary, which this paper does not address</t>
        </is>
      </c>
      <c r="Q43" s="19" t="inlineStr">
        <is>
          <t>This paper has much larger annotated datasets, strong instance segmentation accuracy, and rigorous benchmarking against 11 SOTA models; no clinical disease validation in our project yet</t>
        </is>
      </c>
      <c r="R43" s="19" t="inlineStr">
        <is>
          <t>C6 – Tooth Segmentation &amp; Numbering</t>
        </is>
      </c>
      <c r="S43" s="19" t="n"/>
      <c r="T43" s="19" t="n"/>
      <c r="U43" s="19" t="n"/>
      <c r="V43" s="19" t="n"/>
      <c r="W43" s="19" t="n"/>
      <c r="X43" s="19" t="n"/>
      <c r="Y43" s="19" t="n"/>
      <c r="Z43" s="19" t="n"/>
      <c r="AA43" s="19" t="n"/>
      <c r="AB43" s="19" t="n"/>
      <c r="AC43" s="19" t="n"/>
    </row>
    <row r="44">
      <c r="A44" s="19" t="inlineStr">
        <is>
          <t>Paper 43</t>
        </is>
      </c>
      <c r="B44" s="19" t="inlineStr">
        <is>
          <t>Clinical application of deep learning for enhanced multistage caries detection in panoramic radiographs</t>
        </is>
      </c>
      <c r="C44" s="19" t="inlineStr">
        <is>
          <t>Scientific Reports</t>
        </is>
      </c>
      <c r="D44" s="19" t="n">
        <v>2025</v>
      </c>
      <c r="E44" s="19" t="inlineStr">
        <is>
          <t>Pornprasertsuk-Damrongsri et al.</t>
        </is>
      </c>
      <c r="F44" s="18" t="inlineStr">
        <is>
          <t>Clinical application of deep learning for enhanced multistage caries detection in panoramic radiographs</t>
        </is>
      </c>
      <c r="G44" s="19" t="inlineStr">
        <is>
          <t>YOLOv5s (tooth detection) + Attention U-Net (caries segmentation)</t>
        </is>
      </c>
      <c r="H44" s="19" t="inlineStr">
        <is>
          <t>Private clinical panoramic radiographs with bitewing-confirmed ground truth</t>
        </is>
      </c>
      <c r="I44" s="19" t="inlineStr">
        <is>
          <t>500 panoramic radiographs; 14,997 teeth; 1,792 caries</t>
        </is>
      </c>
      <c r="J44" s="19" t="inlineStr">
        <is>
          <t>IoU, Dice, Precision, Recall, F1, Accuracy, Kappa</t>
        </is>
      </c>
      <c r="K44" s="19" t="inlineStr">
        <is>
          <t>Recall = 0.96; F1 = 0.85; Accuracy = 0.93 (posterior teeth)</t>
        </is>
      </c>
      <c r="L44" s="19" t="inlineStr">
        <is>
          <t>Train/Validation/Test split; expert radiologist ground truth; Bland-Altman analysis</t>
        </is>
      </c>
      <c r="M44" s="19" t="inlineStr">
        <is>
          <t>Not reported in paper</t>
        </is>
      </c>
      <c r="N44" s="19" t="inlineStr">
        <is>
          <t>Single-disease focus (caries only); false positives in healthy teeth; no periodontal analysis</t>
        </is>
      </c>
      <c r="O44" s="19" t="inlineStr">
        <is>
          <t>Authors state need for broader diagnostic coverage and improved enamel-stage detection</t>
        </is>
      </c>
      <c r="P44" s="19" t="inlineStr">
        <is>
          <t>Our system covers caries + periodontal disease, adds severity grading, prognosis, YOLOv8 upgrade, and XAI visual explanations</t>
        </is>
      </c>
      <c r="Q44" s="19" t="inlineStr">
        <is>
          <t>Larger dataset size and clinical calibration stronger in this paper</t>
        </is>
      </c>
      <c r="R44" s="19" t="inlineStr">
        <is>
          <t>C1 – Caries Detection &amp; Severity</t>
        </is>
      </c>
      <c r="S44" s="19" t="n"/>
      <c r="T44" s="19" t="n"/>
      <c r="U44" s="19" t="n"/>
      <c r="V44" s="19" t="n"/>
      <c r="W44" s="19" t="n"/>
      <c r="X44" s="19" t="n"/>
      <c r="Y44" s="19" t="n"/>
      <c r="Z44" s="19" t="n"/>
      <c r="AA44" s="19" t="n"/>
      <c r="AB44" s="19" t="n"/>
      <c r="AC44" s="19" t="n"/>
    </row>
    <row r="45">
      <c r="A45" s="19" t="inlineStr">
        <is>
          <t>Paper 44</t>
        </is>
      </c>
      <c r="B45" s="19" t="inlineStr">
        <is>
          <t>A self-attention based deep learning framework for accurate and efficient dental disease detection in OPG radiographs</t>
        </is>
      </c>
      <c r="C45" s="19" t="inlineStr">
        <is>
          <t>Scientific Reports</t>
        </is>
      </c>
      <c r="D45" s="19" t="n">
        <v>2026</v>
      </c>
      <c r="E45" s="19" t="inlineStr">
        <is>
          <t>Bhoopalan et al.</t>
        </is>
      </c>
      <c r="F45" s="18" t="inlineStr">
        <is>
          <t>A self attention based deep learning framework for accurate and efficient dental disease detection in OPG radiographs | Scientific Reports</t>
        </is>
      </c>
      <c r="G45" s="19" t="inlineStr">
        <is>
          <t>Vision Transformer (ViT) and Swin Transformer (classification)</t>
        </is>
      </c>
      <c r="H45" s="19" t="inlineStr">
        <is>
          <t>Oral Dataset (Kaggle, Sajid 2024)</t>
        </is>
      </c>
      <c r="I45" s="19" t="inlineStr">
        <is>
          <t>5,098 OPG images (4 disease classes used)</t>
        </is>
      </c>
      <c r="J45" s="19" t="inlineStr">
        <is>
          <t>Accuracy, Precision, Recall, F1, ROC-AUC</t>
        </is>
      </c>
      <c r="K45" s="19" t="inlineStr">
        <is>
          <t>ViT Accuracy = 96%; Precision = 95.8%; Recall = 96.2%</t>
        </is>
      </c>
      <c r="L45" s="19" t="inlineStr">
        <is>
          <t>70/15/15 train-val-test split</t>
        </is>
      </c>
      <c r="M45" s="19" t="inlineStr">
        <is>
          <t>Not reported in paper</t>
        </is>
      </c>
      <c r="N45" s="19" t="inlineStr">
        <is>
          <t>Image-level classification only; no localization or segmentation; no clinical validation</t>
        </is>
      </c>
      <c r="O45" s="19" t="inlineStr">
        <is>
          <t>Authors mention lack of explainability and need for real-world clinical trials</t>
        </is>
      </c>
      <c r="P45" s="19" t="inlineStr">
        <is>
          <t>Our system performs detection + segmentation, supports tooth-level outputs, prognosis, and explainability</t>
        </is>
      </c>
      <c r="Q45" s="19" t="inlineStr">
        <is>
          <t>This paper reports higher image-level accuracy on a larger public dataset</t>
        </is>
      </c>
      <c r="R45" s="19" t="inlineStr">
        <is>
          <t>C3 – Multi-task / End-to-End OPG Diagnosis</t>
        </is>
      </c>
      <c r="S45" s="19" t="n"/>
    </row>
    <row r="46">
      <c r="A46" s="19" t="inlineStr">
        <is>
          <t>Paper 45</t>
        </is>
      </c>
      <c r="B46" s="19" t="inlineStr">
        <is>
          <t>Automated Tooth Segmentation in X-ray Images using Attention Integrated U-Net++ Model</t>
        </is>
      </c>
      <c r="C46" s="19" t="inlineStr">
        <is>
          <t>IEEE ISACC</t>
        </is>
      </c>
      <c r="D46" s="19" t="n">
        <v>2025</v>
      </c>
      <c r="E46" s="19" t="inlineStr">
        <is>
          <t>Yaswanth et al.</t>
        </is>
      </c>
      <c r="F46" s="18" t="inlineStr">
        <is>
          <t>Automated Tooth Segmentation in X-ray Images using Attention Integrated U-Net++ Model</t>
        </is>
      </c>
      <c r="G46" s="19" t="inlineStr">
        <is>
          <t>Attention-integrated U-Net++ with Efficient Channel Attention</t>
        </is>
      </c>
      <c r="H46" s="19" t="inlineStr">
        <is>
          <t>Tufts Dental Dataset</t>
        </is>
      </c>
      <c r="I46" s="19" t="inlineStr">
        <is>
          <t>1,000 panoramic radiographs</t>
        </is>
      </c>
      <c r="J46" s="19" t="inlineStr">
        <is>
          <t>mAP, Dice, IoU</t>
        </is>
      </c>
      <c r="K46" s="19" t="inlineStr">
        <is>
          <t>mAP = 96.4%; Dice = 90%</t>
        </is>
      </c>
      <c r="L46" s="19" t="inlineStr">
        <is>
          <t>Standard train-test evaluation on Tufts dataset</t>
        </is>
      </c>
      <c r="M46" s="19" t="inlineStr">
        <is>
          <t>Not reported in paper</t>
        </is>
      </c>
      <c r="N46" s="19" t="inlineStr">
        <is>
          <t>Only tooth segmentation; no disease detection or grading</t>
        </is>
      </c>
      <c r="O46" s="19" t="inlineStr">
        <is>
          <t>Authors suggest extending segmentation to diagnostic and clinical decision tasks</t>
        </is>
      </c>
      <c r="P46" s="19" t="inlineStr">
        <is>
          <t>Our system integrates segmentation + disease detection + prognosis in a single pipeline</t>
        </is>
      </c>
      <c r="Q46" s="19" t="inlineStr">
        <is>
          <t>This paper has stronger tooth mask accuracy</t>
        </is>
      </c>
      <c r="R46" s="19" t="inlineStr">
        <is>
          <t>C6 – Tooth Segmentation &amp; Numbering</t>
        </is>
      </c>
      <c r="S46" s="19" t="n"/>
    </row>
    <row r="47">
      <c r="A47" s="19" t="inlineStr">
        <is>
          <t>Paper 46</t>
        </is>
      </c>
      <c r="B47" s="19" t="inlineStr">
        <is>
          <t>Orthopantomogram teeth segmentation and numbering dataset</t>
        </is>
      </c>
      <c r="C47" s="19" t="inlineStr">
        <is>
          <t>Data in Brief (Elsevier)</t>
        </is>
      </c>
      <c r="D47" s="19" t="n">
        <v>2024</v>
      </c>
      <c r="E47" s="19" t="inlineStr">
        <is>
          <t>Niha Adnan, Fahad Umer</t>
        </is>
      </c>
      <c r="F47" s="18" t="inlineStr">
        <is>
          <t>Data Article Orthopantomogram teeth segmentation and numbering dataset</t>
        </is>
      </c>
      <c r="G47" s="19" t="inlineStr">
        <is>
          <t>U-Net (segmentation) + Faster R-CNN (numbering) (used by authors for demonstration, not core contribution)</t>
        </is>
      </c>
      <c r="H47" s="19" t="inlineStr">
        <is>
          <t>Orthopantomogram Teeth Segmentation and Numbering Dataset (Zenodo)</t>
        </is>
      </c>
      <c r="I47" s="19" t="inlineStr">
        <is>
          <t>250 OPG images (permanent dentition only)</t>
        </is>
      </c>
      <c r="J47" s="19" t="inlineStr">
        <is>
          <t>Not reported in paper</t>
        </is>
      </c>
      <c r="K47" s="19" t="inlineStr">
        <is>
          <t>Not reported in paper</t>
        </is>
      </c>
      <c r="L47" s="19" t="inlineStr">
        <is>
          <t>Expert dentist annotation + second expert verification</t>
        </is>
      </c>
      <c r="M47" s="19" t="inlineStr">
        <is>
          <t>Not reported in paper</t>
        </is>
      </c>
      <c r="N47" s="19" t="inlineStr">
        <is>
          <t>Small dataset size; no disease annotations (caries, periodontal); resized to 512×512</t>
        </is>
      </c>
      <c r="O47" s="19" t="inlineStr">
        <is>
          <t>Authors explicitly state need for expansion and annotation of diseases such as decay, fillings, crowns</t>
        </is>
      </c>
      <c r="P47" s="19" t="inlineStr">
        <is>
          <t>Our system performs disease detection, severity grading, segmentation, prognosis, not just tooth structure</t>
        </is>
      </c>
      <c r="Q47" s="19" t="inlineStr">
        <is>
          <t>This paper provides high-quality expert annotations and numbering, which our project does not contribute as a dataset</t>
        </is>
      </c>
      <c r="R47" s="19" t="inlineStr">
        <is>
          <t>C6 – Tooth Segmentation &amp; Numbering</t>
        </is>
      </c>
      <c r="S47" s="19" t="n"/>
      <c r="T47" s="19" t="n"/>
      <c r="U47" s="19" t="n"/>
    </row>
    <row r="48">
      <c r="A48" s="19" t="inlineStr">
        <is>
          <t>Paper 47</t>
        </is>
      </c>
      <c r="B48" s="19" t="inlineStr">
        <is>
          <t>An enhanced deep learning model for detection and classification of dental caries in panoramic radiographs</t>
        </is>
      </c>
      <c r="C48" s="19" t="inlineStr">
        <is>
          <t>Neural Computing and Applications (Springer)</t>
        </is>
      </c>
      <c r="D48" s="19" t="n">
        <v>2026</v>
      </c>
      <c r="E48" s="19" t="inlineStr">
        <is>
          <t>Ozdemir et al.</t>
        </is>
      </c>
      <c r="F48" s="18" t="inlineStr">
        <is>
          <t>An enhanced deep learning model for detection and classification of dental caries in panoramic radiographs | Neural Computing and Applications</t>
        </is>
      </c>
      <c r="G48" s="19" t="inlineStr">
        <is>
          <t>DenseNet-121-C (custom classifier head)</t>
        </is>
      </c>
      <c r="H48" s="19" t="inlineStr">
        <is>
          <t>Private clinical panoramic radiographs</t>
        </is>
      </c>
      <c r="I48" s="19" t="inlineStr">
        <is>
          <t>14,498 cropped tooth images (2,303 caries / 12,195 non-caries)</t>
        </is>
      </c>
      <c r="J48" s="19" t="inlineStr">
        <is>
          <t>Accuracy, Precision, Recall, F1-score</t>
        </is>
      </c>
      <c r="K48" s="19" t="inlineStr">
        <is>
          <t>Accuracy = 93.17%, F1 = 87.49%</t>
        </is>
      </c>
      <c r="L48" s="19" t="inlineStr">
        <is>
          <t>Train–test evaluation; expert annotations; comparison with Mask R-CNN</t>
        </is>
      </c>
      <c r="M48" s="19" t="inlineStr">
        <is>
          <t>Not reported in paper</t>
        </is>
      </c>
      <c r="N48" s="19" t="inlineStr">
        <is>
          <t>Binary classification only; no localization on full image; no severity grading; no periodontal analysis</t>
        </is>
      </c>
      <c r="O48" s="19" t="inlineStr">
        <is>
          <t>Authors explicitly state need for external validation and clinical deployment studies</t>
        </is>
      </c>
      <c r="P48" s="19" t="inlineStr">
        <is>
          <t>Our system provides localization (YOLOv8), segmentation, severity grading, periodontal bone loss analysis, prognosis, explainability</t>
        </is>
      </c>
      <c r="Q48" s="19" t="inlineStr">
        <is>
          <t>This paper reports high accuracy on a larger cropped dataset</t>
        </is>
      </c>
      <c r="R48" s="19" t="inlineStr">
        <is>
          <t>C1 – Caries Detection &amp; Severity</t>
        </is>
      </c>
      <c r="S48" s="19" t="n"/>
      <c r="T48" s="19" t="n"/>
      <c r="U48" s="19" t="n"/>
    </row>
    <row r="49">
      <c r="A49" t="inlineStr">
        <is>
          <t>Paper 48</t>
        </is>
      </c>
      <c r="B49" t="inlineStr">
        <is>
          <t>Transformer-based intelligent detection model for early dental caries in panoramic radiographs</t>
        </is>
      </c>
      <c r="C49" t="inlineStr">
        <is>
          <t>Scientific Reports</t>
        </is>
      </c>
      <c r="D49" t="n">
        <v>2026</v>
      </c>
      <c r="E49" t="inlineStr">
        <is>
          <t>Liwei Wang, Zhiyuan Li</t>
        </is>
      </c>
      <c r="F49" s="56" t="inlineStr">
        <is>
          <t>https://doi.org/10.1038/s41598-025-33391-y</t>
        </is>
      </c>
      <c r="G49" t="inlineStr">
        <is>
          <t>Hierarchical Transformer encoder (12 layers, 12 attention heads, 768-dim embeddings) with multi-scale feature extraction at layers 3/6/9/12, Feature Pyramid Network detection head, spatial-attention optimisation and improved 2D positional encoding; 95.7M parameters</t>
        </is>
      </c>
      <c r="H49" t="inlineStr">
        <is>
          <t>Private multi-centre corpus from three tertiary dental hospitals (Jan 2021 – Dec 2023); standardised digital panoramic systems, 8-bit greyscale, 2304x1152 to 3000x1500 px, patients aged 18-75</t>
        </is>
      </c>
      <c r="I49" t="inlineStr">
        <is>
          <t>3,856 panoramic radiographs; 12,847 annotated carious lesions graded D1-D4</t>
        </is>
      </c>
      <c r="J49" t="inlineStr">
        <is>
          <t>mAP for lesion detection; per-stage sensitivity; specificity; Cohen's kappa vs expert annotation; inference speed</t>
        </is>
      </c>
      <c r="K49" t="inlineStr">
        <is>
          <t>mAP 87.3% across all caries stages; sensitivity 81.3% (D1) and 84.7% (D2); specificity 91.7%; Cohen's kappa 0.84 vs expert annotations; 14.2 FPS / 70 ms per radiograph</t>
        </is>
      </c>
      <c r="L49" t="inlineStr">
        <is>
          <t>Internal. Stratified random sampling preserving severity-grade distribution, 70/15/15 train/val/test, with patient-level splitting to prevent leakage. Inter-rater kappa 0.87 among three experienced dentists. No external cohort</t>
        </is>
      </c>
      <c r="M49" t="inlineStr">
        <is>
          <t>Partial - attention visualisation maps showing spatial focus are provided, but authors state formal explainable-AI methods are a future research direction, not implemented</t>
        </is>
      </c>
      <c r="N49" t="inlineStr">
        <is>
          <t>Poor performance on regions obscured by metallic artefacts (extensive restorations, orthodontic appliances); dataset drawn from limited geographic regions, affecting generalisation to diverse demographics; panoramic-only, limited transfer to CBCT; anatomical overlap in premolar regions reduces detection accuracy</t>
        </is>
      </c>
      <c r="O49" t="inlineStr">
        <is>
          <t>Authors call for multi-modal fusion of panoramic and bitewing data, temporal analysis using longitudinal radiographic series, expansion to periodontal disease / apical lesions / impacted teeth, and investigation of explainable AI for interpretable model reasoning</t>
        </is>
      </c>
      <c r="P49" t="inlineStr">
        <is>
          <t>Our caries severity model is trained on the public DENTEX set, so our numbers are reproducible by third parties; Wang &amp; Li's 3,856-image corpus is private and cannot be re-run. We also bind every caries prediction to an explicit FDI tooth identity via a dedicated numbering stage, which they do not do - their output is lesion boxes, not tooth-indexed findings. We report macro-F1 (0.77) on the imbalanced severity task rather than mAP alone</t>
        </is>
      </c>
      <c r="Q49" t="inlineStr">
        <is>
          <t>We lag badly on rigour: they have a genuine patient-level-split held-out test set and we have none for caries (our 81% accuracy / 0.77 macro-F1 are validation-set figures). They have 12,847 graded lesions vs our DENTEX subset; they report per-grade sensitivity for the hardest D1 lesions (81.3%), specificity (91.7%), expert-agreement kappa (0.84) and throughput (70 ms) - we report none of these. Their attention maps are at least produced; our Grad-CAM is planned and unquantified</t>
        </is>
      </c>
      <c r="R49" t="inlineStr">
        <is>
          <t>C1 – Caries Detection &amp; Severity</t>
        </is>
      </c>
    </row>
    <row r="50">
      <c r="A50" t="inlineStr">
        <is>
          <t>Paper 49</t>
        </is>
      </c>
      <c r="B50" t="inlineStr">
        <is>
          <t>When CNNs Outperform Transformers and Mambas: Revisiting Deep Architectures for Dental Caries Segmentation</t>
        </is>
      </c>
      <c r="C50" t="inlineStr">
        <is>
          <t>arXiv preprint (arXiv:2511.14860)</t>
        </is>
      </c>
      <c r="D50" t="n">
        <v>2025</v>
      </c>
      <c r="E50" t="inlineStr">
        <is>
          <t>Aashish Ghimire, Jun Zeng, Roshan Paudel, Nikhil Kumar Tomar, Deepak Ranjan Nayak, Harshith Reddy Nalla, Vivek Jha, Glenda Reynolds, Debesh Jha</t>
        </is>
      </c>
      <c r="F50" s="56" t="inlineStr">
        <is>
          <t>https://arxiv.org/abs/2511.14860</t>
        </is>
      </c>
      <c r="G50" t="inlineStr">
        <is>
          <t>Controlled benchmark of 12 architectures: CNNs (DoubleU-Net, U-Net, ResUNet++, ColonSegNet), vision transformers (PVTFormer, TransNetR, TransRUPNet, RSAFormer), and state-space Mamba models (VMUNet, VMUNetV2, MambaUNet, RMAMamba-S)</t>
        </is>
      </c>
      <c r="H50" t="inlineStr">
        <is>
          <t>DC1000 dental caries dataset - panoramic radiographs with pixel-level caries masks</t>
        </is>
      </c>
      <c r="I50" t="inlineStr">
        <is>
          <t>597 panoramic radiographs as benchmarked (497 train/val + 100 test). NOTE: the dataset name "DC1000" implies 1000 images; confirm whether 597 is a subset before quoting the size</t>
        </is>
      </c>
      <c r="J50" t="inlineStr">
        <is>
          <t>mIoU, mDSC (Dice), precision, recall, F2-score, Hausdorff distance</t>
        </is>
      </c>
      <c r="K50" t="inlineStr">
        <is>
          <t>DoubleU-Net (CNN) best overall: mDSC 0.7345, mIoU 0.5978, precision 0.8145. U-Net mDSC 0.7236, mIoU 0.5836. Best transformer PVTFormer mDSC 0.6733, mIoU 0.5291. Best Mamba RMAMamba-S mDSC 0.6583, mIoU 0.5124. Headline claim: CNNs beat transformers and Mambas in the limited-data regime</t>
        </is>
      </c>
      <c r="L50" t="inlineStr">
        <is>
          <t>Internal. 80:20 train/validation split of 497 training images, with a separate 100-image held-out test set</t>
        </is>
      </c>
      <c r="M50" t="inlineStr">
        <is>
          <t>No</t>
        </is>
      </c>
      <c r="N50" t="inlineStr">
        <is>
          <t>Dataset scale small relative to natural-image benchmarks; class imbalance; numerous low-contrast lesions</t>
        </is>
      </c>
      <c r="O50" t="inlineStr">
        <is>
          <t>Authors call for multi-institutional data collection and expansion to additional pathologies (impacted teeth, periapical radiolucency)</t>
        </is>
      </c>
      <c r="P50" t="inlineStr">
        <is>
          <t>Our pipeline delivers tooth-indexed caries classification with a severity cascade plus a separate periodontal bone-loss branch; this paper is binary caries segmentation only, with no severity grading and no periodontal task. We also perform FDI numbering, which this work does not attempt</t>
        </is>
      </c>
      <c r="Q50" t="inlineStr">
        <is>
          <t>They have a real 100-image held-out test set; we have no held-out test set for caries at all. They ran a controlled 12-architecture comparison across 6 metrics including Hausdorff distance; we evaluated a single ResNet18 classifier on a single split with no architecture ablation and no boundary metrics. Their result that CNNs beat transformers in low-data settings is a claim we cannot corroborate or refute because we never benchmarked alternatives</t>
        </is>
      </c>
      <c r="R50" t="inlineStr">
        <is>
          <t>C1 – Caries Detection &amp; Severity</t>
        </is>
      </c>
    </row>
    <row r="51">
      <c r="A51" t="inlineStr">
        <is>
          <t>Paper 50</t>
        </is>
      </c>
      <c r="B51" t="inlineStr">
        <is>
          <t>Automated Dental Caries Segmentation in Panoramic Radiographs Using Dual-Stage Deep Learning</t>
        </is>
      </c>
      <c r="C51" t="inlineStr">
        <is>
          <t>Machine Learning in Medical Imaging (MLMI 2025), Lecture Notes in Computer Science vol. 16241</t>
        </is>
      </c>
      <c r="D51" t="n">
        <v>2026</v>
      </c>
      <c r="E51" t="inlineStr">
        <is>
          <t>Jihun Kim, Kyeonghun Kim, Jong-yeol Lee, Yeongseok Seo, Dohyun Chun</t>
        </is>
      </c>
      <c r="F51" s="56" t="inlineStr">
        <is>
          <t>https://doi.org/10.1007/978-3-032-09513-8_53</t>
        </is>
      </c>
      <c r="G51" t="inlineStr">
        <is>
          <t>Two-stage framework: Faster R-CNN for tooth localisation followed by U-Net for pixel-wise caries segmentation, with a systematic pipeline transforming polygon annotations into binary segmentation masks</t>
        </is>
      </c>
      <c r="H51" t="inlineStr">
        <is>
          <t>Open AI Dataset Project (AI-Hub, South Korea) panoramic radiographs, using both expert-verified and algorithmically-processed labels</t>
        </is>
      </c>
      <c r="I51" t="inlineStr">
        <is>
          <t>3,000 panoramic radiographs</t>
        </is>
      </c>
      <c r="J51" t="inlineStr">
        <is>
          <t>IoU, Dice coefficient, recall, precision</t>
        </is>
      </c>
      <c r="K51" t="inlineStr">
        <is>
          <t>IoU 0.9013; Dice 0.9482; recall 0.9433; precision 0.9774. CAUTION - these values are far above comparable published caries-segmentation results; the metric attribution and evaluation protocol could not be confirmed from accessible text (full chapter paywalled)</t>
        </is>
      </c>
      <c r="L51" t="inlineStr">
        <is>
          <t>Not reported in accessible text - unverified, fetch blocked (Springer chapter paywalled). Authors claim superior accuracy versus existing methods with significantly reduced false-positive rates, but no split description is given</t>
        </is>
      </c>
      <c r="M51" t="inlineStr">
        <is>
          <t>Not discussed</t>
        </is>
      </c>
      <c r="N51" t="inlineStr">
        <is>
          <t>Not explicitly enumerated in accessible text - unverified, fetch blocked. The paper frames itself as addressing data-annotation bottlenecks in dental AI</t>
        </is>
      </c>
      <c r="O51" t="inlineStr">
        <is>
          <t>Not explicitly stated in accessible text; the framing implies remaining need for broader clinical deployment and multi-centre validation - unverified, fetch blocked</t>
        </is>
      </c>
      <c r="P51" t="inlineStr">
        <is>
          <t>Our system grades caries severity and additionally handles periodontal bone loss; this work is binary caries segmentation only. We also produce FDI tooth identities, which they do not. Our reported figures come with an explicit statement of their weaknesses (no test set, 6-sample Mild class), whereas this paper's evaluation protocol is undocumented</t>
        </is>
      </c>
      <c r="Q51" t="inlineStr">
        <is>
          <t>Their localise-then-segment design is an actually-integrated two-stage pipeline; our equivalent multi-stage system exists only as separate per-stage results and has never been run end to end. They also work at pixel level, producing lesion extent; we produce only tooth-level class labels, so we cannot report IoU or Dice for caries at all</t>
        </is>
      </c>
      <c r="R51" t="inlineStr">
        <is>
          <t>C1 – Caries Detection &amp; Severity</t>
        </is>
      </c>
    </row>
    <row r="52">
      <c r="A52" t="inlineStr">
        <is>
          <t>Paper 51</t>
        </is>
      </c>
      <c r="B52" t="inlineStr">
        <is>
          <t>Towards clinical-level interpretation of dental panoramic radiography using an instance-guided vision-language model</t>
        </is>
      </c>
      <c r="C52" t="inlineStr">
        <is>
          <t>Nature Biomedical Engineering</t>
        </is>
      </c>
      <c r="D52" t="n">
        <v>2026</v>
      </c>
      <c r="E52" t="inlineStr">
        <is>
          <t>Qikui Zhu, Yeyu Lin, Weitao Fu, Wenhui Tang, Jiaxing Li, Ying Zhang, Bo Li, Xiaolong Guo, Fang Wang, Haiyan Qi, Chongke Sun, Xiangkui Zhu, Zhonghao Liu, Li He, Zhiguo Zheng, Bo Du, Jie Yang, Zhuan Bian, Liuyan Meng</t>
        </is>
      </c>
      <c r="F52" s="56" t="inlineStr">
        <is>
          <t>https://doi.org/10.1038/s41551-026-01713-8</t>
        </is>
      </c>
      <c r="G52" t="inlineStr">
        <is>
          <t>DentFound - an instance-guided vision-language model. Two-stage learning framework injecting tooth instance masks as instance-guided visual embeddings into a transformer-based VLM with interaction blocks, for tooth-level diagnosis and free-text report generation. Code at https://github.com/ahukui/DentFound</t>
        </is>
      </c>
      <c r="H52" t="inlineStr">
        <is>
          <t>Multi-hospital clinical panoramic radiograph corpus (private); supplementary public Kaggle sets (Dual-labeled Panoramic Radiographs Dataset; Teeth Segmentation dataset)</t>
        </is>
      </c>
      <c r="I52" t="inlineStr">
        <is>
          <t>Over 101,000 patients aged 2-98, spanning all dentition stages; 98 disease categories plus 11 post-treatment categories; expert-reviewed cohort of 595 panoramic radiographs</t>
        </is>
      </c>
      <c r="J52" t="inlineStr">
        <is>
          <t>Tooth-level diagnostic accuracy; report-generation NLG metrics (BLEU, ROUGE, CIDEr); expert reader-study ratings on lesion localisation, diagnostic accuracy and clinical value; tooth identification across 52 tooth sites</t>
        </is>
      </c>
      <c r="K52" t="inlineStr">
        <is>
          <t>Verified qualitative headline: DentFound outperformed state-of-the-art vision-language models on both report generation and diagnosis across multiple centres; 12 dentists and radiologists rated DentFound-generated reports as superior or comparable to human-written reports, with broader diagnostic coverage than the human reports. EXACT numeric values (BLEU/ROUGE/CIDEr, accuracy, F1, AUC, per-site tooth identification percentages) are unverified - fetch blocked (Nature full text paywalled; only abstract, metadata and figure captions accessible)</t>
        </is>
      </c>
      <c r="L52" t="inlineStr">
        <is>
          <t>Internal train/validation/test split at the primary institution plus multi-centre external validation across diverse institutions; expert reader study on 595 panoramic radiographs with 12 clinicians. Exact per-centre cohort sizes and number of hospitals unverified - fetch blocked</t>
        </is>
      </c>
      <c r="M52" t="inlineStr">
        <is>
          <t>Yes - Grad-CAM visualisation showing regional responses in the panoramic radiograph corresponding to individual diagnostic statements (Fig. 7)</t>
        </is>
      </c>
      <c r="N52" t="inlineStr">
        <is>
          <t>Not explicitly enumerated in accessible text - unverified, fetch blocked (paywall). Note: an Author Correction was published 08 July 2026 and should be checked before citing any specific figure</t>
        </is>
      </c>
      <c r="O52" t="inlineStr">
        <is>
          <t>Authors state that existing general-purpose VLMs fall short of the demands of real-world dental practice, and that interpretation demand routinely exceeds radiologist capacity, leaving reports incomplete, chief-complaint-focused or absent</t>
        </is>
      </c>
      <c r="P52" t="inlineStr">
        <is>
          <t>Honestly, very little. The only defensible advantages: our caries and bone-loss models are trained on public datasets (DENTEX, Tufts) so our results are independently reproducible, whereas DentFound's 101,000-patient corpus is private; and our periodontal bone-loss branch treats severity as an explicitly graded supervised task, whereas DentFound's periodontal handling is embedded in free-text generation and not separately quantified in accessible text. Our pipeline is also orders of magnitude cheaper to train and deploy</t>
        </is>
      </c>
      <c r="Q52" t="inlineStr">
        <is>
          <t>We lag on essentially every axis: dataset scale (101,000 patients vs. two public sets), multi-centre external validation (we have run none - ours is planned only), a 12-clinician expert reader study (we have none), report generation (we do not attempt it), implemented and figure-level Grad-CAM (ours is planned and unquantified), and full pipeline integration (DentFound is a single deployed system; ours exists only as disconnected per-stage results). Their tooth identification spans 52 tooth sites; our numbering stage has never been evaluated against a comparable per-site breakdown</t>
        </is>
      </c>
      <c r="R52" t="inlineStr">
        <is>
          <t>C3 – Multi-task / End-to-End OPG Diagnosis</t>
        </is>
      </c>
    </row>
    <row r="53">
      <c r="A53" t="inlineStr">
        <is>
          <t>Paper 52</t>
        </is>
      </c>
      <c r="B53" t="inlineStr">
        <is>
          <t>Towards Better Dental AI: A Multimodal Benchmark and Instruction Dataset for Panoramic X-ray Analysis</t>
        </is>
      </c>
      <c r="C53" t="inlineStr">
        <is>
          <t>Advances in Neural Information Processing Systems (NeurIPS 2025), Datasets and Benchmarks Track</t>
        </is>
      </c>
      <c r="D53" t="n">
        <v>2025</v>
      </c>
      <c r="E53" t="inlineStr">
        <is>
          <t>Jing Hao, Yuxuan Fan, Yanpeng Sun, Kaixin Guo, Lizhuo Lin, Jinrong Yang, Qi Yong H. Ai, Lun M. Wong, Hao Tang, Kuo Feng Hung</t>
        </is>
      </c>
      <c r="F53" s="56" t="inlineStr">
        <is>
          <t>https://proceedings.neurips.cc/paper_files/paper/2025/file/3797b3a3c939156757857cf1b9afde3c-Paper-Datasets_and_Benchmarks_Track.pdf</t>
        </is>
      </c>
      <c r="G53" t="inlineStr">
        <is>
          <t>Not a single model - a large-scale multimodal instruction dataset (MMOral) plus evaluation benchmark (MMOral-Bench) covering attribute extraction, report generation, VQA and image-grounded dialogue; used to evaluate 64 LVLMs zero-shot and to supervised-fine-tune Qwen2.5-VL-7B</t>
        </is>
      </c>
      <c r="H53" t="inlineStr">
        <is>
          <t>MMOral. Source images from TED3 (Apache 2.0) and the Hoang Viet Do dataset (CC BY 4.0). Sub-sets: MMOral-Attribute, MMOral-Report, MMOral-VQA, MMOral-Chat. Released at https://github.com/isbrycee/OralGPT and https://huggingface.co/datasets/OralGPT/MMOral-OPG-Bench</t>
        </is>
      </c>
      <c r="I53" t="inlineStr">
        <is>
          <t>20,563 annotated panoramic X-rays; 1.3 million instruction-following instances; 904,000 bounding boxes across 49 anatomical categories; 41k grounding captions and reports; 965k QA pairs; 296k multi-turn dialogues</t>
        </is>
      </c>
      <c r="J53" t="inlineStr">
        <is>
          <t>Closed-ended and open-ended VQA accuracy across five diagnostic dimensions</t>
        </is>
      </c>
      <c r="K53" t="inlineStr">
        <is>
          <t>Best zero-shot performer GPT-4o reaches only 43.31% accuracy; Gemini-2.0-Flash 42.40%; Claude-3.7-Sonnet 42.21%; GPT-4V 40.98%; best medical-specific LVLM HealthGPT-XL32 only 39.67%. One epoch of supervised fine-tuning on Qwen2.5-VL-7B lifts the average score from 21.46% to 46.19% (+24.73 points); MMOral-VQA alone gives +18.21 points, MMOral-Report plus MMOral-VQA gives +23.07 points. Nearly all LVLMs do worse on open-ended than closed-ended questions, with weakest performance on fine-grained tooth-related questions</t>
        </is>
      </c>
      <c r="L53" t="inlineStr">
        <is>
          <t>Benchmark evaluation on the held-out MMOral-Bench using the standardised VLMEvalKit framework; 64 models evaluated (8 proprietary, 23 general open-source, 5 medical-specific, plus supplementary)</t>
        </is>
      </c>
      <c r="M53" t="inlineStr">
        <is>
          <t>No</t>
        </is>
      </c>
      <c r="N53" t="inlineStr">
        <is>
          <t>Modality diversity is limited relative to existing medical instruction datasets - scope is restricted to panoramic X-rays only, with no coverage of periapical radiographs, intraoral photographs or 3D cone-beam CT</t>
        </is>
      </c>
      <c r="O53" t="inlineStr">
        <is>
          <t>Authors call for expansion to additional 2D modalities (periapical X-rays, intraoral photographs) and 3D modalities (CBCT), and for further development of dental-specific fine-tuned models</t>
        </is>
      </c>
      <c r="P53" t="inlineStr">
        <is>
          <t>Our supervised task-specific pipeline is far more accurate on the narrow tasks it covers than any evaluated LVLM is on this benchmark - MMOral is direct evidence that general-purpose VLMs remain unusable for tooth-level OPG diagnosis (best 43.31%), which strengthens the case for staged detection-plus-classification designs like ours. Our tooth numbering is deterministic rather than generated, avoiding exactly the fine-grained tooth-level failure mode the paper identifies</t>
        </is>
      </c>
      <c r="Q53" t="inlineStr">
        <is>
          <t>We have no instruction-following, dialogue or report-generation capability whatsoever. Our data is three orders of magnitude smaller than 1.3M instruction instances / 904k boxes. We release no benchmark, no dataset and no code. We never benchmarked against any LVLM baseline, so we cannot situate our numbers in this landscape at all</t>
        </is>
      </c>
      <c r="R53" t="inlineStr">
        <is>
          <t>C3 – Multi-task / End-to-End OPG Diagnosis</t>
        </is>
      </c>
    </row>
    <row r="54">
      <c r="A54" t="inlineStr">
        <is>
          <t>Paper 53</t>
        </is>
      </c>
      <c r="B54" t="inlineStr">
        <is>
          <t>PanDent: Toward Comprehensive Tooth-Level Structure-Language Consistency in Dental Radiology</t>
        </is>
      </c>
      <c r="C54" t="inlineStr">
        <is>
          <t>arXiv preprint (arXiv:2607.27378)</t>
        </is>
      </c>
      <c r="D54" t="n">
        <v>2026</v>
      </c>
      <c r="E54" t="inlineStr">
        <is>
          <t>Xiaohan Li, Xinyu Liu, Chang Liu, Sum Wing Au Yeung, Jun Liu, Yixuan Yuan, Hui Chen</t>
        </is>
      </c>
      <c r="F54" s="56" t="inlineStr">
        <is>
          <t>https://arxiv.org/abs/2607.27378</t>
        </is>
      </c>
      <c r="G54" t="inlineStr">
        <is>
          <t>PanDent - a clinically grounded OPG benchmark for multimodal large language models, built on fine-grained expert-validated tooth-level annotations; evaluates proprietary, general-domain open-source and medical-specific MLLMs on tooth-level diagnosis, report generation, visual localisation and structure-language consistency, plus a fine-tuning study</t>
        </is>
      </c>
      <c r="H54" t="inlineStr">
        <is>
          <t>PanDent (newly introduced); annotations produced by experienced dentists and further validated by an oral and maxillofacial radiologist</t>
        </is>
      </c>
      <c r="I54" t="inlineStr">
        <is>
          <t>9,524 high-quality orthopantomograms, each with comprehensive structured tooth-level annotations</t>
        </is>
      </c>
      <c r="J54" t="inlineStr">
        <is>
          <t>Tooth-level diagnostic accuracy; report-generation quality; visual localisation accuracy; structure-language consistency</t>
        </is>
      </c>
      <c r="K54" t="inlineStr">
        <is>
          <t>Verified qualitative headline: current MLLMs generate fluent reports but fail to produce clinically consistent descriptions, with substantial errors in fine-grained localisation and tooth-level diagnosis; fine-tuning on PanDent substantially improves diagnostic accuracy. Per-model numeric scores unverified - fetch blocked (arXiv HTML/PDF rate-limited, then WebFetch session limit reached)</t>
        </is>
      </c>
      <c r="L54" t="inlineStr">
        <is>
          <t>Benchmark evaluation across proprietary, general open-source and medical-specific MLLM families, plus a fine-tuning experiment. Exact split sizes unverified - fetch blocked</t>
        </is>
      </c>
      <c r="M54" t="inlineStr">
        <is>
          <t>Not reported. Structure-language consistency scoring provides traceability from generated text to tooth-level structure, but no XAI method is claimed</t>
        </is>
      </c>
      <c r="N54" t="inlineStr">
        <is>
          <t>Not verified - fetch blocked</t>
        </is>
      </c>
      <c r="O54" t="inlineStr">
        <is>
          <t>Authors identify the absence of fine-grained, clinically reliable, expert-validated benchmarks reflecting genuine expert interpretation as the key gap limiting evaluation of MLLMs on OPGs</t>
        </is>
      </c>
      <c r="P54" t="inlineStr">
        <is>
          <t>Our pipeline produces deterministic, quantitatively scored tooth-level severity labels rather than generated text, so it is not subject to the fine-grained localisation failures PanDent documents; our detection stage resolves tooth identity geometrically (mAP@0.5 = 0.834) rather than linguistically. Our two disease branches are each separately quantified with macro-F1</t>
        </is>
      </c>
      <c r="Q54" t="inlineStr">
        <is>
          <t>PanDent has 9,524 OPGs with tooth-level annotations validated by a specialist oral and maxillofacial radiologist - a level of annotation provenance we cannot claim for either DENTEX or our Tufts labels. It evaluates report generation, visual localisation and structure-language consistency, none of which we attempt. It is a released community benchmark; we release nothing</t>
        </is>
      </c>
      <c r="R54" t="inlineStr">
        <is>
          <t>C3 – Multi-task / End-to-End OPG Diagnosis</t>
        </is>
      </c>
    </row>
    <row r="55">
      <c r="A55" t="inlineStr">
        <is>
          <t>Paper 54</t>
        </is>
      </c>
      <c r="B55" t="inlineStr">
        <is>
          <t>DentiAsk: A VQA Benchmark for Multimodal Reasoning in Panoramic Dental Radiographs</t>
        </is>
      </c>
      <c r="C55" t="inlineStr">
        <is>
          <t>arXiv preprint (arXiv:2607.08790)</t>
        </is>
      </c>
      <c r="D55" t="n">
        <v>2026</v>
      </c>
      <c r="E55" t="inlineStr">
        <is>
          <t>Debesh Jha, Tapas Kumar Dutta, Roshan Paudel, Onkar Kishor Susladkar, Aashish Ghimire, Anupam Dhakal, Sabin Adhikari, Nand Kumar Yadav, Deepak Ranjan Nayak, Pravin Pawar, William C. W. Chen, Glenda Reynolds</t>
        </is>
      </c>
      <c r="F55" s="56" t="inlineStr">
        <is>
          <t>https://arxiv.org/abs/2607.08790</t>
        </is>
      </c>
      <c r="G55" t="inlineStr">
        <is>
          <t>DentiAsk - a dental visual-question-answering benchmark unifying three separately scored reasoning tiers (descriptive recognition, spatial localisation, numerical quantification) in a single evaluation framework; used to benchmark 10 state-of-the-art vision-language models</t>
        </is>
      </c>
      <c r="H55" t="inlineStr">
        <is>
          <t>DentiAsk (newly introduced); high-resolution panoramic dental radiographs with clinician-validated question-answer pairs. Source institution of the radiographs unverified - fetch blocked</t>
        </is>
      </c>
      <c r="I55" t="inlineStr">
        <is>
          <t>1,000 high-resolution panoramic radiographs; 10,000 expert-curated question-answer pairs; three high-prevalence pathologies (periapical radiolucency, impacted teeth, dental caries)</t>
        </is>
      </c>
      <c r="J55" t="inlineStr">
        <is>
          <t>Per-tier VQA scores across descriptive recognition, spatial localisation and numerical quantification</t>
        </is>
      </c>
      <c r="K55" t="inlineStr">
        <is>
          <t>Verified qualitative headline: models achieve stronger performance on descriptive queries but degrade sharply on spatial localisation and counting, exposing limitations in compositional, multi-step reasoning and a gap between visual recognition and clinically meaningful reasoning. Per-model numeric scores unverified - fetch blocked (arXiv HTML/PDF rate-limited, then WebFetch session limit reached)</t>
        </is>
      </c>
      <c r="L55" t="inlineStr">
        <is>
          <t>Benchmark evaluation of 10 state-of-the-art VLMs including LLaVA-v1.5, LLaVA-v1.6, Qwen-VL, InternVL2 and LLaVA-Med. Split details unverified - fetch blocked</t>
        </is>
      </c>
      <c r="M55" t="inlineStr">
        <is>
          <t>No</t>
        </is>
      </c>
      <c r="N55" t="inlineStr">
        <is>
          <t>Not verified - fetch blocked</t>
        </is>
      </c>
      <c r="O55" t="inlineStr">
        <is>
          <t>Authors state that existing medical VQA benchmarks reduce the task to simplified classification or templated queries and therefore cover only a fraction of the reasoning processes required for clinically meaningful interpretation; DentiAsk is positioned as the first dental VQA benchmark to unify categorical, spatial and quantitative reasoning as separately scored tasks</t>
        </is>
      </c>
      <c r="P55" t="inlineStr">
        <is>
          <t>Our pipeline outputs deterministic per-tooth labels rather than free-text answers, so the counting and localisation failures DentiAsk exposes do not apply to it - our FDI numbering stage handles tooth-position reasoning explicitly and our detector gives spatial grounding at mAP@0.5 = 0.834. We also grade caries severity, which DentiAsk's pathology set does not attempt to stage</t>
        </is>
      </c>
      <c r="Q55" t="inlineStr">
        <is>
          <t>DentiAsk contributes 10,000 clinician-validated QA pairs and a released public benchmark; we release no data, code or benchmark. It evaluates spatial localisation and numerical quantification as first-class scored tasks - we have never measured our pipeline's counting or localisation reasoning at all. It covers periapical radiolucency, which our system does not detect</t>
        </is>
      </c>
      <c r="R55" t="inlineStr">
        <is>
          <t>C3 – Multi-task / End-to-End OPG Diagnosis</t>
        </is>
      </c>
    </row>
    <row r="56">
      <c r="A56" t="inlineStr">
        <is>
          <t>Paper 55</t>
        </is>
      </c>
      <c r="B56" t="inlineStr">
        <is>
          <t>A Novel Hybrid Large Language Model Approach for Reporting Panoramic Radiographs and Performance Comparison with Current Large Language Models</t>
        </is>
      </c>
      <c r="C56" t="inlineStr">
        <is>
          <t>Journal of Imaging Informatics in Medicine</t>
        </is>
      </c>
      <c r="D56" t="n">
        <v>2026</v>
      </c>
      <c r="E56" t="inlineStr">
        <is>
          <t>Yunus Balel, Kaan Sagtas, Fatih Teke, Mehmet Ali Kurt</t>
        </is>
      </c>
      <c r="F56" s="56" t="inlineStr">
        <is>
          <t>https://doi.org/10.1007/s10278-026-01880-9</t>
        </is>
      </c>
      <c r="G56" t="inlineStr">
        <is>
          <t>Hybrid framework: YOLOv12 for tooth detection and 14-category segmentation, with detection outputs converted to structured JSON that is then passed to a locally hosted LLM for report generation. Local LLMs tested: DeepSeek R1, Mistral, Llama 3.2, Gemma 3, Qwen3, SmolLM3. Compared against commercial ChatGPT-5, Gemini 2.5 Pro and DeepSeek R1-cloud</t>
        </is>
      </c>
      <c r="H56" t="inlineStr">
        <is>
          <t>Institutional panoramic radiograph corpus; dataset name not reported</t>
        </is>
      </c>
      <c r="I56" t="inlineStr">
        <is>
          <t>30,954 panoramic radiographs, split 70% training / 15% validation / 15% testing; reporting evaluated on 50 unseen radiographs</t>
        </is>
      </c>
      <c r="J56" t="inlineStr">
        <is>
          <t>Detection and segmentation precision, recall and F1; count of true findings per report; count of hallucinations per model</t>
        </is>
      </c>
      <c r="K56" t="inlineStr">
        <is>
          <t>YOLOv12 detection: precision 0.651, recall 0.699, F1 0.674. Segmentation overall: precision 0.816, recall 0.626, F1 0.708. Best per-class F1: ectopic/supernumerary teeth 0.994, impacted teeth 0.990, implants 0.984. Reporting over 50 test radiographs: DeepSeek R1 466 true findings with 30 hallucinations; Mistral 462; Llama 3.2 442; Gemma 3 436 with 60 hallucinations. Commercial LLMs exhibited hallucinations in 100% of reports</t>
        </is>
      </c>
      <c r="L56" t="inlineStr">
        <is>
          <t>Internal. 70/15/15 split of 30,954 images, plus a separate reporting evaluation on 50 unseen radiographs with expert assessment as the gold standard. No external centre</t>
        </is>
      </c>
      <c r="M56" t="inlineStr">
        <is>
          <t>No formal XAI method. The structured-JSON intermediate representation is presented as the transparency and anti-hallucination mechanism</t>
        </is>
      </c>
      <c r="N56" t="inlineStr">
        <is>
          <t>Not explicitly detailed in accessible content - unverified, fetch blocked (limitations/discussion sections not retrievable)</t>
        </is>
      </c>
      <c r="O56" t="inlineStr">
        <is>
          <t>Not explicitly stated in accessible content - unverified, fetch blocked. The framing identifies LLM accuracy and hallucination as the unsolved barrier to clinical reporting</t>
        </is>
      </c>
      <c r="P56" t="inlineStr">
        <is>
          <t>Our caries and bone-loss branches are trained on public datasets and are therefore reproducible; Balel et al.'s 30,954-image corpus is institutional and unnamed. We grade severity for two diseases, which their 14-category segmentation does not do. Their raw detection performance (precision 0.651, recall 0.699, F1 0.674) is modest, and our detection mAP@0.5 of 0.834 is respectable by comparison - though the tasks and metrics differ and this is not a like-for-like comparison</t>
        </is>
      </c>
      <c r="Q56" t="inlineStr">
        <is>
          <t>They have a genuine 70/15/15 split with a held-out test set on 30,954 images plus a 50-radiograph expert-gold-standard reader evaluation; we have no held-out test set for caries and no reader study. They complete the end-to-end path all the way to a generated clinical report, whereas our pipeline has never been assembled end to end. Their hallucination auditing has no counterpart in our work</t>
        </is>
      </c>
      <c r="R56" t="inlineStr">
        <is>
          <t>C3 – Multi-task / End-to-End OPG Diagnosis</t>
        </is>
      </c>
    </row>
    <row r="57">
      <c r="A57" t="inlineStr">
        <is>
          <t>Paper 56</t>
        </is>
      </c>
      <c r="B57" t="inlineStr">
        <is>
          <t>Advanced Deep Learning Models for Classifying Dental Diseases from Panoramic Radiographs</t>
        </is>
      </c>
      <c r="C57" t="inlineStr">
        <is>
          <t>Diagnostics</t>
        </is>
      </c>
      <c r="D57" t="n">
        <v>2026</v>
      </c>
      <c r="E57" t="inlineStr">
        <is>
          <t>Deema M. Alnasser, Reema M. Alnasser, Wareef M. Alolayan, Shihanah S. Albadi, Haifa F. Alhasson, Amani A. Alkhamees, Shuaa S. Alharbi</t>
        </is>
      </c>
      <c r="F57" s="56" t="inlineStr">
        <is>
          <t>https://doi.org/10.3390/diagnostics16030503</t>
        </is>
      </c>
      <c r="G57" t="inlineStr">
        <is>
          <t>Comparative evaluation of five CNN architectures - InceptionV3, EfficientNetV2, DenseNet121, ResNet50 and VGG16 - for multiclass dental disease classification, with preprocessing that reduces class imbalance from 2560:1 to 61:1</t>
        </is>
      </c>
      <c r="H57" t="inlineStr">
        <is>
          <t>vzrad2 dataset, obtained from Roboflow Universe (Arsh's Workspace Radio)</t>
        </is>
      </c>
      <c r="I57" t="inlineStr">
        <is>
          <t>10,580 panoramic radiographs; originally 93 classes, consolidated to 35 disease classes covering caries, fractured/cracked teeth, periapical lesions, impacted teeth, bone loss, implants, orthodontic appliances, fillings, root canal treatment and prosthodontics</t>
        </is>
      </c>
      <c r="J57" t="inlineStr">
        <is>
          <t>Accuracy, mean average precision (mAP), precision, recall, F1-score</t>
        </is>
      </c>
      <c r="K57" t="inlineStr">
        <is>
          <t>InceptionV3 best: 97.51% accuracy, 96.61% mAP, 97% precision, 96% recall. EfficientNetV2 97.04% accuracy / 95.79% mAP; DenseNet121 96.70% / 94.25%; ResNet50 95.45%; VGG16 95.40%. Ten-fold cross-validation on InceptionV3: mean 98.4% accuracy, best fold (fold 8) 98.6%</t>
        </is>
      </c>
      <c r="L57" t="inlineStr">
        <is>
          <t>Internal only. 70% train / 20% validation / 10% test, plus 10-fold cross-validation on InceptionV3. No patient-level split is described and no external cohort was used</t>
        </is>
      </c>
      <c r="M57" t="inlineStr">
        <is>
          <t>Yes - Grad-CAM used to visualise which radiograph regions drove predictions, motivated by clinical utility and treatment planning</t>
        </is>
      </c>
      <c r="N57" t="inlineStr">
        <is>
          <t>Dataset size and diversity constrain generalisation; variability in panoramic radiograph quality affects performance; models struggle with early-stage disease detection; reliance on private datasets across the field limits reproducibility; overlapping radiographic features challenge discrimination (e.g. decay vs. deep decay)</t>
        </is>
      </c>
      <c r="O57" t="inlineStr">
        <is>
          <t>Authors recommend dataset expansion, ensemble learning strategies and application of explainable AI; they flag transformer architectures and CNN-transformer hybrids as promising for global context modelling despite current computational constraints</t>
        </is>
      </c>
      <c r="P57" t="inlineStr">
        <is>
          <t>Our system produces per-tooth findings tied to FDI identity rather than whole-image labels, which is the clinically actionable granularity; theirs classifies the radiograph, not the tooth. We report macro-F1 on imbalanced severity classes rather than accuracy alone, and we grade caries and bone-loss severity, which their 35-class scheme does not. Their headline accuracy is not comparable to ours: a random split of a Roboflow-aggregated set without patient-level separation cannot exclude near-duplicate leakage</t>
        </is>
      </c>
      <c r="Q57" t="inlineStr">
        <is>
          <t>They actually implemented Grad-CAM; ours is planned and unquantified. They ran 10-fold cross-validation and compared five backbones; we used a single ResNet18 on a single split with no architecture ablation and no cross-validation. Their 10,580 images cover 35 conditions against our two disease branches. They also have a defined test partition, which our caries branch lacks entirely</t>
        </is>
      </c>
      <c r="R57" t="inlineStr">
        <is>
          <t>C3 – Multi-task / End-to-End OPG Diagnosis</t>
        </is>
      </c>
    </row>
    <row r="58">
      <c r="A58" t="inlineStr">
        <is>
          <t>Paper 57</t>
        </is>
      </c>
      <c r="B58" t="inlineStr">
        <is>
          <t>Tooth-level detection and mapping of dental pathologies on panoramic radiographs using YOLOv11 and RT-DETR</t>
        </is>
      </c>
      <c r="C58" t="inlineStr">
        <is>
          <t>MethodsX</t>
        </is>
      </c>
      <c r="D58" t="n">
        <v>2025</v>
      </c>
      <c r="E58" t="inlineStr">
        <is>
          <t>Sorana Eftimie (published as; Sorana Muresanu on the SSRN preprint), Tudor Ileni, Liviu Iacob, Mihaela Hedesiu, Laura Diosan</t>
        </is>
      </c>
      <c r="F58" s="56" t="inlineStr">
        <is>
          <t>https://doi.org/10.1016/j.mex.2025.103696</t>
        </is>
      </c>
      <c r="G58" t="inlineStr">
        <is>
          <t>Two-stage reproducible workflow: YOLOv11 for individual tooth instance segmentation, then RT-DETR for lesion detection and categorisation, followed by an assignment step linking each detected pathology to a specific tooth. YOLOv11x and RT-DETR-x were the best-performing variants</t>
        </is>
      </c>
      <c r="H58" t="inlineStr">
        <is>
          <t>Institutional annotated panoramic radiograph set plus the public Tufts Dental Database as an additional evaluation set</t>
        </is>
      </c>
      <c r="I58" t="inlineStr">
        <is>
          <t>1,628 annotated panoramic radiographs with 14 pathology categories, plus the Tufts Dental Database</t>
        </is>
      </c>
      <c r="J58" t="inlineStr">
        <is>
          <t>mAP@50 for pathology detection; tooth segmentation accuracy; precision of the lesion-to-tooth assignment</t>
        </is>
      </c>
      <c r="K58" t="inlineStr">
        <is>
          <t>Verified qualitative headline: RT-DETR-x achieved the highest mAP@50 for pathology detection while YOLOv11x produced the most accurate tooth segmentation, and the integrated system showed high precision in linking lesions to the corresponding teeth. EXACT numeric values (mAP@50, precision, recall, Dice, IoU) unverified - fetch blocked (ScienceDirect disallowed by robots.txt; Europe PMC full-text API rate-limited, then WebFetch session limit reached)</t>
        </is>
      </c>
      <c r="L58" t="inlineStr">
        <is>
          <t>Internal evaluation on the 1,628-image annotated corpus plus cross-dataset evaluation on the public Tufts Dental Database. Exact split description unverified - fetch blocked</t>
        </is>
      </c>
      <c r="M58" t="inlineStr">
        <is>
          <t>Not reported</t>
        </is>
      </c>
      <c r="N58" t="inlineStr">
        <is>
          <t>Not verified - fetch blocked</t>
        </is>
      </c>
      <c r="O58" t="inlineStr">
        <is>
          <t>Authors position the work as a reproducible, transferable method for AI-assisted diagnostic tooling, implying the gap is reproducibility and adaptability of tooth-level mapping pipelines across imaging datasets</t>
        </is>
      </c>
      <c r="P58" t="inlineStr">
        <is>
          <t>Our pipeline grades severity for both caries and periodontal bone loss; theirs detects 14 pathology categories without any severity staging. Our bone-loss branch reports a full operating profile (macro-F1 0.9233, sensitivity 83%, specificity 99.5%), whereas periodontal assessment is not separately quantified in their scheme</t>
        </is>
      </c>
      <c r="Q58" t="inlineStr">
        <is>
          <t>They evaluate on the public Tufts database in addition to their own corpus - a cross-dataset generalisation test we have not run in any form. They systematically compare two detector families (YOLOv11 and RT-DETR) at multiple scales; we used one YOLOv11l configuration with no comparison. Most importantly, they deliver a working lesion-to-tooth assignment step, which is precisely the integration our pipeline is missing: we have per-stage results only, with no end-to-end system</t>
        </is>
      </c>
      <c r="R58" t="inlineStr">
        <is>
          <t>C3 – Multi-task / End-to-End OPG Diagnosis</t>
        </is>
      </c>
    </row>
    <row r="59">
      <c r="A59" t="inlineStr">
        <is>
          <t>Paper 58</t>
        </is>
      </c>
      <c r="B59" t="inlineStr">
        <is>
          <t>Comparative Analysis of Deep Learning Architectures for Automatic Tooth Segmentation in Panoramic Dental Radiographs: Balancing Accuracy and Computational Efficiency</t>
        </is>
      </c>
      <c r="C59" t="inlineStr">
        <is>
          <t>Diagnostics</t>
        </is>
      </c>
      <c r="D59" t="n">
        <v>2026</v>
      </c>
      <c r="E59" t="inlineStr">
        <is>
          <t>Alperen Yalim, Emre Aytugar, Fahrettin Kalabalik, Ismail Akdag</t>
        </is>
      </c>
      <c r="F59" s="56" t="inlineStr">
        <is>
          <t>https://doi.org/10.3390/diagnostics16020336</t>
        </is>
      </c>
      <c r="G59" t="inlineStr">
        <is>
          <t>U-Net with ten interchangeable encoder backbones - ResNet-18/50/152, EfficientNet-B0/B4/B7, DenseNet-121/169/201 and MobileNetV3-Small - benchmarked for binary tooth-vs-background segmentation, with accuracy explicitly traded off against parameter count and GFLOPs</t>
        </is>
      </c>
      <c r="H59" t="inlineStr">
        <is>
          <t>Tufts Dental Database (public)</t>
        </is>
      </c>
      <c r="I59" t="inlineStr">
        <is>
          <t>1,000 panoramic radiographs, resized from 1615x840 to 512x256; horizontal and vertical flip augmentation expands the training pool to 3,000 images</t>
        </is>
      </c>
      <c r="J59" t="inlineStr">
        <is>
          <t>Dice coefficient, Intersection over Union, parameter count, GFLOPs; Friedman test with Nemenyi post hoc for significance</t>
        </is>
      </c>
      <c r="K59" t="inlineStr">
        <is>
          <t>EfficientNet-B7 best: Dice 0.9259 +/- 0.0007, IoU 0.8621 +/- 0.0013 (67.2M params, 40.80 GFLOPs). EfficientNet-B0: Dice 0.9244 +/- 0.0011 at only 6.3M params and 5.98 GFLOPs. MobileNetV3-Small: Dice 0.9168 +/- 0.0031, IoU 0.8464 +/- 0.0053 (2.9M params, 4.93 GFLOPs). Overall Dice range across all ten backbones 0.9168-0.9259. EfficientNet-B7 significantly better than ResNet variants (p=0.029) and MobileNetV3-Small (p&lt;0.001), but differences among EfficientNet-B0/B4/B7 were not significant (p&gt;0.05). Authors conclude EfficientNet-B0 is the most practical operating point</t>
        </is>
      </c>
      <c r="L59" t="inlineStr">
        <is>
          <t>Internal only. Five-fold cross-validation with 80% training / 20% validation per fold, plus Friedman and Nemenyi statistical testing at p&lt;0.05. No external cohort. Inference time deliberately not reported due to hardware dependency</t>
        </is>
      </c>
      <c r="M59" t="inlineStr">
        <is>
          <t>No - the study is a pure architectural comparison with no attention-visualisation or interpretation methods</t>
        </is>
      </c>
      <c r="N59" t="inlineStr">
        <is>
          <t>Findings are limited to the tooth-segmentation task and may not transfer to other tasks; domain shift from different data domains and acquisition conditions complicates generalisation; the public dataset lacks patient-level demographics and detailed acquisition metadata beyond unit models; out-of-domain performance may not align with benchmark results</t>
        </is>
      </c>
      <c r="O59" t="inlineStr">
        <is>
          <t>Authors call for cross-device, multi-centre evaluation and domain adaptation; note deeper architectures may pay off on tasks with greater data heterogeneity, anatomical variability or harder segmentation objectives; and state that clinical deployment requires further validation and real-time performance assessment</t>
        </is>
      </c>
      <c r="P59" t="inlineStr">
        <is>
          <t>Our pipeline goes beyond binary tooth-vs-background segmentation to FDI-level tooth identity plus per-tooth disease classification and severity grading; theirs stops at a binary mask. We also extend Tufts to a periodontal bone-loss task, which this work does not address. Our bone-loss branch demonstrates that Tufts supports diagnostic labelling, not just anatomical segmentation</t>
        </is>
      </c>
      <c r="Q59" t="inlineStr">
        <is>
          <t>They ran 5-fold cross-validation with formal significance testing (Friedman/Nemenyi) and report Dice with variance to four decimal places; we report single-split point estimates with no cross-validation, no confidence intervals and no significance testing. They compared ten encoders at matched compute and reported parameter counts and GFLOPs; we report neither efficiency figures nor any architectural ablation. Their own stated gap - cross-device, multi-centre evaluation - is exactly the experiment we have planned on the Carestream CS 8100 cohort but have not run, so we cannot claim to have closed it</t>
        </is>
      </c>
      <c r="R59" t="inlineStr">
        <is>
          <t>C6 – Tooth Segmentation &amp; Numbering</t>
        </is>
      </c>
    </row>
    <row r="60">
      <c r="A60" t="inlineStr">
        <is>
          <t>Paper 59</t>
        </is>
      </c>
      <c r="B60" t="inlineStr">
        <is>
          <t>Robust oriented object detection for posterior teeth in mixed dentition</t>
        </is>
      </c>
      <c r="C60" t="inlineStr">
        <is>
          <t>Scientific Reports</t>
        </is>
      </c>
      <c r="D60" t="n">
        <v>2026</v>
      </c>
      <c r="E60" t="inlineStr">
        <is>
          <t>Rui Hao, Yunhao Zheng, Yuxing Ma, Xin Xiong</t>
        </is>
      </c>
      <c r="F60" s="56" t="inlineStr">
        <is>
          <t>https://doi.org/10.1038/s41598-026-50297-5</t>
        </is>
      </c>
      <c r="G60" t="inlineStr">
        <is>
          <t>YOLOv11-OBB oriented-bounding-box detection framework at four scales (Nano, Small, Medium, Large), with C3k2 backbone and C2PSA attention module for multi-scale feature extraction; motivated by the failure of horizontal bounding boxes to localise tilted teeth in mixed dentition</t>
        </is>
      </c>
      <c r="H60" t="inlineStr">
        <is>
          <t>Dual-centre institutional panoramic radiograph corpus; teeth annotated in FDI World Dental Federation notation for primary molars, developing premolars and first permanent molars</t>
        </is>
      </c>
      <c r="I60" t="inlineStr">
        <is>
          <t>1,148 panoramic radiographs total from two centres: 832 train / 104 validation / 104 internal test, plus an independent external test set of 108 images from a different clinical centre</t>
        </is>
      </c>
      <c r="J60" t="inlineStr">
        <is>
          <t>mAP@50-95; inter-observer IoU; mesiodistal width measurement error; CPU inference latency</t>
        </is>
      </c>
      <c r="K60" t="inlineStr">
        <is>
          <t>Large model mAP@50-95 = 0.904 internal and 0.896 external. Nano model mAP@50-95 = 0.879 external at 141 ms CPU inference latency. Mandibular premolars and molars exceed 0.94 mAP@50-95; primary molars exceed 0.86. Inter-observer reliability mean IoU 0.882. Mesiodistal width measurement error 0.345 mm (95% CI 0.318-0.376)</t>
        </is>
      </c>
      <c r="L60" t="inlineStr">
        <is>
          <t>Internal stratified 832/104/104 train/validation/test split, PLUS a genuine independent external cohort of 108 radiographs from a different clinical centre</t>
        </is>
      </c>
      <c r="M60" t="inlineStr">
        <is>
          <t>No - prediction visualisations showing success and failure cases are provided, but no XAI method is applied</t>
        </is>
      </c>
      <c r="N60" t="inlineStr">
        <is>
          <t>Model is restricted to deciduous molars, premolars and first permanent molars; rare anomalies such as supernumerary teeth are not explicitly categorised; training covers only common mixed-dentition classes</t>
        </is>
      </c>
      <c r="O60" t="inlineStr">
        <is>
          <t>Authors call for incorporation of anterior teeth and second and third molars for complete dentition coverage, integration of longitudinal data for developmental trend prediction, and expansion of anomaly classification categories</t>
        </is>
      </c>
      <c r="P60" t="inlineStr">
        <is>
          <t>Our pipeline covers full permanent dentition FDI numbering rather than only posterior mixed-dentition teeth, and adds two disease branches (caries and periodontal bone loss) with severity grading on top of detection - this paper stops at localisation and identity. We work on public datasets, so our results are reproducible; their dual-centre corpus is institutional</t>
        </is>
      </c>
      <c r="Q60" t="inlineStr">
        <is>
          <t>This is where we lag most visibly. They have already run the independent-external-centre validation that we have only planned for the Carestream CS 8100 cohort, and their performance held up (0.904 internal to 0.896 external). Their detection mAP@50-95 of 0.904 exceeds our mAP@0.5 of 0.834 on a strictly harder metric - the gap is larger than the raw numbers suggest. They also report CPU latency (141 ms) and a clinically interpretable measurement error (0.345 mm), plus inter-observer IoU as an annotation-quality control; we report none of these</t>
        </is>
      </c>
      <c r="R60" t="inlineStr">
        <is>
          <t>C6 – Tooth Segmentation &amp; Numbering</t>
        </is>
      </c>
    </row>
    <row r="61">
      <c r="A61" t="inlineStr">
        <is>
          <t>Paper 60</t>
        </is>
      </c>
      <c r="B61" t="inlineStr">
        <is>
          <t>Dental Panoramic Radiograph Analysis Using YOLO26 From Tooth Detection to Disease Diagnosis</t>
        </is>
      </c>
      <c r="C61" t="inlineStr">
        <is>
          <t>arXiv preprint (arXiv:2604.16231)</t>
        </is>
      </c>
      <c r="D61" t="n">
        <v>2026</v>
      </c>
      <c r="E61" t="inlineStr">
        <is>
          <t>Khawaja Azfar Asif, Rafaqat Alam Khan</t>
        </is>
      </c>
      <c r="F61" s="56" t="inlineStr">
        <is>
          <t>https://arxiv.org/abs/2604.16231</t>
        </is>
      </c>
      <c r="G61" t="inlineStr">
        <is>
          <t>Five YOLOv26-seg variants trained by transfer learning at 800x800 resolution on Google Colab, for automated tooth detection, FDI-based numbering and dental disease segmentation; presented as the first application of YOLOv26 to this task, benchmarked against a YOLOv8x baseline</t>
        </is>
      </c>
      <c r="H61" t="inlineStr">
        <is>
          <t>DENTEX dataset, preprocessed via Roboflow</t>
        </is>
      </c>
      <c r="I61" t="inlineStr">
        <is>
          <t>1,082 images for tooth enumeration; 1,040 images for disease segmentation across four pathology classes</t>
        </is>
      </c>
      <c r="J61" t="inlineStr">
        <is>
          <t>Precision, recall, box mAP50, mask mAP50, per-class average precision</t>
        </is>
      </c>
      <c r="K61" t="inlineStr">
        <is>
          <t>Tooth enumeration (YOLOv26m-seg): precision 0.976, recall 0.970, box mAP50 0.976, mask mAP50 0.970. Disease segmentation (YOLOv26l-seg): box mAP50 0.591, mask mAP50 0.547. Gains over YOLOv8x baseline: +4.9% precision, +3.3% mAP50. Impacted teeth per-class average precision 0.943</t>
        </is>
      </c>
      <c r="L61" t="inlineStr">
        <is>
          <t>Not explicitly detailed in the abstract - unverified, fetch blocked (arXiv HTML returned 404 for v1; PDF rate-limited, then WebFetch session limit reached). Train/validation/test split sizes could not be confirmed</t>
        </is>
      </c>
      <c r="M61" t="inlineStr">
        <is>
          <t>Not addressed</t>
        </is>
      </c>
      <c r="N61" t="inlineStr">
        <is>
          <t>Not specified in the abstract - unverified, fetch blocked</t>
        </is>
      </c>
      <c r="O61" t="inlineStr">
        <is>
          <t>Not specified in the abstract - unverified, fetch blocked. The stated contribution is the first application of YOLOv26 to panoramic tooth enumeration and disease segmentation</t>
        </is>
      </c>
      <c r="P61" t="inlineStr">
        <is>
          <t>Our system adds an explicit caries severity cascade and a separate periodontal bone-loss branch with graded severity; theirs performs four-class disease segmentation with no severity staging and no periodontal assessment. We report macro-F1 on imbalanced severity classes rather than mAP alone, and we are explicit about our weak classes (6 validation samples in the Mild bone-loss class)</t>
        </is>
      </c>
      <c r="Q61" t="inlineStr">
        <is>
          <t>We lag on the shared task on the shared dataset: their enumeration box mAP50 of 0.976 far exceeds our detection mAP@0.5 of 0.834, although their enumeration is on a Roboflow-preprocessed DENTEX subset so the comparison is not strictly like for like. They benchmark five model variants against a YOLOv8x baseline and report mask-level as well as box-level metrics; we evaluated one YOLOv11l configuration and produce no masks. Their disease-segmentation box mAP50 of 0.591 is the fairer comparator for lesion-level work, and we have no equivalent lesion-localisation metric at all</t>
        </is>
      </c>
      <c r="R61" t="inlineStr">
        <is>
          <t>C6 – Tooth Segmentation &amp; Numbering</t>
        </is>
      </c>
    </row>
    <row r="62">
      <c r="A62" t="inlineStr">
        <is>
          <t>Paper 61</t>
        </is>
      </c>
      <c r="B62" t="inlineStr">
        <is>
          <t>Automated periodontitis diagnosis and staging using an end-to-end deep learning model on panoramic dental radiographs</t>
        </is>
      </c>
      <c r="C62" t="inlineStr">
        <is>
          <t>Oral Radiology (Springer)</t>
        </is>
      </c>
      <c r="D62" t="n">
        <v>2026</v>
      </c>
      <c r="E62" t="inlineStr">
        <is>
          <t>My Huong Le, Xuan Hao Mai, Batzaya Tumur-Ulzii, So-Hyun Kim, Nam-Sik Oh</t>
        </is>
      </c>
      <c r="F62" s="56" t="inlineStr">
        <is>
          <t>https://doi.org/10.1007/s11282-026-00921-x</t>
        </is>
      </c>
      <c r="G62" t="inlineStr">
        <is>
          <t>YOLOv11 six-keypoint pipeline for tooth/landmark localization feeding a periodontitis staging head</t>
        </is>
      </c>
      <c r="H62" t="inlineStr">
        <is>
          <t>Institutional panoramic radiograph corpus</t>
        </is>
      </c>
      <c r="I62" t="inlineStr">
        <is>
          <t>607 panoramic radiographs</t>
        </is>
      </c>
      <c r="J62" t="inlineStr">
        <is>
          <t>Segmentation precision/recall/F1/mAP50; keypoint mAP50; PCC/ICC agreement for radiographic bone loss</t>
        </is>
      </c>
      <c r="K62" t="inlineStr">
        <is>
          <t>Segmentation P=0.981, R=0.984, F1=0.983, mAP50=0.994; keypoint mAP50&gt;0.958; per-tooth-type PCC/ICC agreement for bone loss</t>
        </is>
      </c>
      <c r="L62" t="inlineStr">
        <is>
          <t>Internal; per-tooth-type agreement analysis (not stated as multi-center)</t>
        </is>
      </c>
      <c r="M62" t="inlineStr">
        <is>
          <t>Not reported in accessible abstract/summary</t>
        </is>
      </c>
      <c r="N62" t="inlineStr">
        <is>
          <t>Single-institution data; staging not confirmed to map onto AAP/EFP Stage I-IV taxonomy</t>
        </is>
      </c>
      <c r="O62" t="inlineStr">
        <is>
          <t>Authors position this as closing the gap between keypoint detection and clinically usable RBL quantification</t>
        </is>
      </c>
      <c r="P62" t="inlineStr">
        <is>
          <t>Our system explicitly targets FDI-indexed caries + bone-loss severity with macro-F1 reporting on a public dataset (Tufts), so results are independently reproducible</t>
        </is>
      </c>
      <c r="Q62" t="inlineStr">
        <is>
          <t>This is the most granular bone-loss QUANTIFICATION result found in this survey (per-tooth-type PCC/ICC); our bone-loss branch reports only a severity class (F1=0.72), not a keypoint-level quantitative measurement</t>
        </is>
      </c>
      <c r="R62" t="inlineStr">
        <is>
          <t>C2 – Periodontal Disease &amp; Bone Loss</t>
        </is>
      </c>
    </row>
    <row r="63">
      <c r="A63" t="inlineStr">
        <is>
          <t>Paper 62</t>
        </is>
      </c>
      <c r="B63" t="inlineStr">
        <is>
          <t>A novel AI-powered radiographic analysis surpasses specialists in stage II-IV periodontitis detection: a multicenter diagnostic study</t>
        </is>
      </c>
      <c r="C63" t="inlineStr">
        <is>
          <t>npj Digital Medicine (Nature Portfolio)</t>
        </is>
      </c>
      <c r="D63" t="n">
        <v>2025</v>
      </c>
      <c r="E63" t="inlineStr">
        <is>
          <t>Yuan Li, Zhiming Cui, Lanzhuju Mei, Yu Xie, Lorenzo Marini, George Pelekos, Wen Gu, Xiaoyu Yu, Xinyu Wu, Xindi Wei, Leran Tao, Ke Deng, Andrea Pilloni, Dinggang Shen, Maurizio S. Tonetti</t>
        </is>
      </c>
      <c r="F63" s="56" t="inlineStr">
        <is>
          <t>https://doi.org/10.1038/s41746-025-02077-0</t>
        </is>
      </c>
      <c r="G63" t="inlineStr">
        <is>
          <t>HC-Net+ (multicenter periodontitis staging network with CAM-based explainability)</t>
        </is>
      </c>
      <c r="H63" t="inlineStr">
        <is>
          <t>Multicenter clinical radiograph cohorts (primary + two external validation cohorts)</t>
        </is>
      </c>
      <c r="I63" t="inlineStr">
        <is>
          <t>Not fully specified in accessible summary</t>
        </is>
      </c>
      <c r="J63" t="inlineStr">
        <is>
          <t>AUROC vs. specialist agreement; Cohen's kappa; per-stage miss rate</t>
        </is>
      </c>
      <c r="K63" t="inlineStr">
        <is>
          <t>AUROC=94.2% vs. specialist AUROC=85.6% (primary cohort); AUROC=0.967 (2nd external cohort); specialist agreement kappa=0.64; 20.6% of Stage II cases missed</t>
        </is>
      </c>
      <c r="L63" t="inlineStr">
        <is>
          <t>Multicenter internal + 2 external validation cohorts -- one of the strongest validation designs in this survey</t>
        </is>
      </c>
      <c r="M63" t="inlineStr">
        <is>
          <t>CAM-based explainability</t>
        </is>
      </c>
      <c r="N63" t="inlineStr">
        <is>
          <t>20.6% of Stage II cases missed even by this system; external cohort details not fully accessible</t>
        </is>
      </c>
      <c r="O63" t="inlineStr">
        <is>
          <t>Authors position this as evidence AI can exceed specialist-level agreement on periodontitis staging when given multicenter training data</t>
        </is>
      </c>
      <c r="P63" t="inlineStr">
        <is>
          <t>Our bone-loss branch is trained and reproducible on a fully public dataset (Tufts); this system's training data is private multicenter clinical data</t>
        </is>
      </c>
      <c r="Q63" t="inlineStr">
        <is>
          <t>This is the strongest external-validation periodontal result in the corpus (AUROC 0.967 external); we have run no external validation for our bone-loss severity branch (F1=0.72, 6 Mild-class validation samples)</t>
        </is>
      </c>
      <c r="R63" t="inlineStr">
        <is>
          <t>C2 – Periodontal Disease &amp; Bone Loss</t>
        </is>
      </c>
    </row>
    <row r="64">
      <c r="A64" t="inlineStr">
        <is>
          <t>Paper 63</t>
        </is>
      </c>
      <c r="B64" t="inlineStr">
        <is>
          <t>Fractal Analysis and Artificial Intelligence for Radiographic Detection of Periodontal Bone Loss: A Systematic Review</t>
        </is>
      </c>
      <c r="C64" t="inlineStr">
        <is>
          <t>Diagnostics (MDPI)</t>
        </is>
      </c>
      <c r="D64" t="n">
        <v>2026</v>
      </c>
      <c r="E64" t="inlineStr">
        <is>
          <t>Zülal Deniz Güner, Merter Güçlü, Fatma Karacaoğlu, Nilsun Bağış, Kaan Orhan</t>
        </is>
      </c>
      <c r="F64" s="56" t="inlineStr">
        <is>
          <t>https://doi.org/10.3390/diagnostics16050782</t>
        </is>
      </c>
      <c r="G64" t="inlineStr">
        <is>
          <t>Systematic review (fractal analysis + AI methods for bone loss detection)</t>
        </is>
      </c>
      <c r="H64" t="inlineStr">
        <is>
          <t>80 studies synthesized</t>
        </is>
      </c>
      <c r="I64" t="inlineStr">
        <is>
          <t>80 studies (systematic review)</t>
        </is>
      </c>
      <c r="J64" t="inlineStr">
        <is>
          <t>QUADAS-2 risk-of-bias; PROSPERO-registered protocol (CRD1278324)</t>
        </is>
      </c>
      <c r="K64" t="inlineStr">
        <is>
          <t>Qualitative synthesis; no single pooled effect size reported in accessible summary</t>
        </is>
      </c>
      <c r="L64" t="inlineStr">
        <is>
          <t>Review</t>
        </is>
      </c>
      <c r="M64" t="inlineStr">
        <is>
          <t>N/A (review)</t>
        </is>
      </c>
      <c r="N64" t="inlineStr">
        <is>
          <t>Field-wide heterogeneity in fractal-analysis protocols; most primary studies are small and single-center</t>
        </is>
      </c>
      <c r="O64" t="inlineStr">
        <is>
          <t>Authors call for standardized fractal-analysis protocols and larger multi-center validation</t>
        </is>
      </c>
      <c r="P64" t="inlineStr">
        <is>
          <t>N/A -- review paper, cited for evidence context rather than direct comparison</t>
        </is>
      </c>
      <c r="Q64" t="inlineStr">
        <is>
          <t>Provides the most current systematic evidence base for periodontal bone-loss detection methods; our project has not been benchmarked against this literature base</t>
        </is>
      </c>
      <c r="R64" t="inlineStr">
        <is>
          <t>C2 – Periodontal Disease &amp; Bone Loss</t>
        </is>
      </c>
    </row>
    <row r="65">
      <c r="A65" t="inlineStr">
        <is>
          <t>Paper 64</t>
        </is>
      </c>
      <c r="B65" t="inlineStr">
        <is>
          <t>Explainability, Bias and Generalizability of AI Models in Dentistry: A Systematic Review of Model Interpretability and Equity</t>
        </is>
      </c>
      <c r="C65" t="inlineStr">
        <is>
          <t>Clinical and Experimental Dental Research (Wiley)</t>
        </is>
      </c>
      <c r="D65" t="n">
        <v>2026</v>
      </c>
      <c r="E65" t="inlineStr">
        <is>
          <t>Vini Mehta, Ankita Mathur, Mahati Bhadania, Cosimo Galletti, Javier Flores-Fraile</t>
        </is>
      </c>
      <c r="F65" s="56" t="inlineStr">
        <is>
          <t>https://doi.org/10.1002/cre2.70375</t>
        </is>
      </c>
      <c r="G65" t="inlineStr">
        <is>
          <t>Systematic review (XAI + bias/generalizability across dental imaging AI)</t>
        </is>
      </c>
      <c r="H65" t="inlineStr">
        <is>
          <t>11 studies synthesized</t>
        </is>
      </c>
      <c r="I65" t="inlineStr">
        <is>
          <t>11 studies (systematic review)</t>
        </is>
      </c>
      <c r="J65" t="inlineStr">
        <is>
          <t>Accuracy figures up to 95.10% (3D U-Net); not a single pooled metric</t>
        </is>
      </c>
      <c r="K65" t="inlineStr">
        <is>
          <t>Accuracy-trustworthiness correlation r=0.367-0.987 depending on study design</t>
        </is>
      </c>
      <c r="L65" t="inlineStr">
        <is>
          <t>Review</t>
        </is>
      </c>
      <c r="M65" t="inlineStr">
        <is>
          <t>N/A (review)</t>
        </is>
      </c>
      <c r="N65" t="inlineStr">
        <is>
          <t>High variance in accuracy-trustworthiness correlation across studies; XAI validation practices inconsistent field-wide</t>
        </is>
      </c>
      <c r="O65" t="inlineStr">
        <is>
          <t>Authors argue high accuracy and high trustworthiness are not the same property and should be reported/validated separately</t>
        </is>
      </c>
      <c r="P65" t="inlineStr">
        <is>
          <t>N/A -- review paper</t>
        </is>
      </c>
      <c r="Q65" t="inlineStr">
        <is>
          <t>Directly supports our project's own Grad-CAM validation gap: our XAI outputs are planned but not yet quantitatively validated against expert annotations, exactly the gap this review flags as under-addressed field-wide</t>
        </is>
      </c>
      <c r="R65" t="inlineStr">
        <is>
          <t>C4 – Explainable AI</t>
        </is>
      </c>
    </row>
    <row r="66">
      <c r="A66" t="inlineStr">
        <is>
          <t>Paper 65</t>
        </is>
      </c>
      <c r="B66" t="inlineStr">
        <is>
          <t>An Explainable Two-Stage Deep Learning Framework for Pericoronitis Assessment in Panoramic Radiographs Using YOLOv8 and ResNet-50</t>
        </is>
      </c>
      <c r="C66" t="inlineStr">
        <is>
          <t>arXiv preprint (arXiv:2601.08401)</t>
        </is>
      </c>
      <c r="D66" t="n">
        <v>2026</v>
      </c>
      <c r="E66" t="inlineStr">
        <is>
          <t>Ajo Babu George, Pranav S, Kunal Agarwal</t>
        </is>
      </c>
      <c r="F66" s="56" t="inlineStr">
        <is>
          <t>https://arxiv.org/abs/2601.08401</t>
        </is>
      </c>
      <c r="G66" t="inlineStr">
        <is>
          <t>Two-stage YOLOv8 (detection) + ResNet-50 (classification) with Grad-CAM explainability</t>
        </is>
      </c>
      <c r="H66" t="inlineStr">
        <is>
          <t>Institutional panoramic radiograph corpus</t>
        </is>
      </c>
      <c r="I66" t="inlineStr">
        <is>
          <t>Not fully specified in accessible summary</t>
        </is>
      </c>
      <c r="J66" t="inlineStr">
        <is>
          <t>Grad-CAM/radiologist concordance</t>
        </is>
      </c>
      <c r="K66" t="inlineStr">
        <is>
          <t>84% concordance between Grad-CAM output and radiologist annotations (n=50 reader check)</t>
        </is>
      </c>
      <c r="L66" t="inlineStr">
        <is>
          <t>50-image radiologist concordance check</t>
        </is>
      </c>
      <c r="M66" t="inlineStr">
        <is>
          <t>Grad-CAM (validated against radiologist annotations)</t>
        </is>
      </c>
      <c r="N66" t="inlineStr">
        <is>
          <t>Small reader-check sample (n=50); pericoronitis-specific, narrow disease scope</t>
        </is>
      </c>
      <c r="O66" t="inlineStr">
        <is>
          <t>Authors position this as a template for validating XAI outputs against expert annotation rather than just producing them</t>
        </is>
      </c>
      <c r="P66" t="inlineStr">
        <is>
          <t>Our project addresses caries + periodontal bone loss (broader scope than pericoronitis alone)</t>
        </is>
      </c>
      <c r="Q66" t="inlineStr">
        <is>
          <t>This is one of the only papers in the corpus that quantitatively validates its Grad-CAM output against expert annotations (84% concordance); our own planned Grad-CAM work has no such validation yet</t>
        </is>
      </c>
      <c r="R66" t="inlineStr">
        <is>
          <t>C4 – Explainable AI</t>
        </is>
      </c>
    </row>
    <row r="67">
      <c r="A67" t="inlineStr">
        <is>
          <t>Paper 66</t>
        </is>
      </c>
      <c r="B67" t="inlineStr">
        <is>
          <t>A Dual-Branch Deep Learning Framework with Explainability for Dental Caries Classification Using Intra-Oral Photographs and Radiographs</t>
        </is>
      </c>
      <c r="C67" t="inlineStr">
        <is>
          <t>Journal of Imaging (MDPI)</t>
        </is>
      </c>
      <c r="D67" t="n">
        <v>2026</v>
      </c>
      <c r="E67" t="inlineStr">
        <is>
          <t>Lijuan Ren, Jinjing Chen</t>
        </is>
      </c>
      <c r="F67" s="56" t="inlineStr">
        <is>
          <t>https://doi.org/10.3390/jimaging12050207</t>
        </is>
      </c>
      <c r="G67" t="inlineStr">
        <is>
          <t>Dual-branch CNN (intra-oral photo + radiograph fusion) compared across 5 CAM-family XAI methods</t>
        </is>
      </c>
      <c r="H67" t="inlineStr">
        <is>
          <t>Combined intra-oral photograph + radiograph dataset</t>
        </is>
      </c>
      <c r="I67" t="inlineStr">
        <is>
          <t>Not fully specified in accessible summary</t>
        </is>
      </c>
      <c r="J67" t="inlineStr">
        <is>
          <t>Comparative CAM-method quality (5 methods compared)</t>
        </is>
      </c>
      <c r="K67" t="inlineStr">
        <is>
          <t>XGrad-CAM identified as strongest of 5 CAM variants tested</t>
        </is>
      </c>
      <c r="L67" t="inlineStr">
        <is>
          <t>Not fully specified in accessible summary</t>
        </is>
      </c>
      <c r="M67" t="inlineStr">
        <is>
          <t>Yes -- compares Grad-CAM, Grad-CAM++, Score-CAM, Eigen-CAM, XGrad-CAM</t>
        </is>
      </c>
      <c r="N67" t="inlineStr">
        <is>
          <t>Imaging modality not confirmed to be panoramic radiography specifically -- flagged as unverified</t>
        </is>
      </c>
      <c r="O67" t="inlineStr">
        <is>
          <t>Authors argue CAM-method choice materially affects perceived explanation quality and should not be treated as interchangeable</t>
        </is>
      </c>
      <c r="P67" t="inlineStr">
        <is>
          <t>Our project uses panoramic radiographs exclusively (confirmed modality) vs. this paper's dual intra-oral-photo+radiograph design of uncertain modality composition</t>
        </is>
      </c>
      <c r="Q67" t="inlineStr">
        <is>
          <t>This is the only paper in the corpus to systematically compare multiple CAM variants head-to-head; we have not yet selected/validated a specific CAM method for our own Grad-CAM work</t>
        </is>
      </c>
      <c r="R67" t="inlineStr">
        <is>
          <t>C4 – Explainable AI</t>
        </is>
      </c>
    </row>
    <row r="68">
      <c r="A68" t="inlineStr">
        <is>
          <t>Paper 67</t>
        </is>
      </c>
      <c r="B68" t="inlineStr">
        <is>
          <t>Artificial intelligence for dental caries diagnosis: translating algorithms to clinical practice</t>
        </is>
      </c>
      <c r="C68" t="inlineStr">
        <is>
          <t>Frontiers in Medicine</t>
        </is>
      </c>
      <c r="D68" t="n">
        <v>2026</v>
      </c>
      <c r="E68" t="inlineStr">
        <is>
          <t>Ziyu Wang, Zixuan Zhu, Ti Jiang, Yuanping Gu</t>
        </is>
      </c>
      <c r="F68" s="56" t="inlineStr">
        <is>
          <t>https://doi.org/10.3389/fmed.2026.1879708</t>
        </is>
      </c>
      <c r="G68" t="inlineStr">
        <is>
          <t>Narrative/systematic review of the caries-AI translational pipeline (data curation to deployment)</t>
        </is>
      </c>
      <c r="H68" t="inlineStr">
        <is>
          <t>Literature review</t>
        </is>
      </c>
      <c r="I68" t="inlineStr">
        <is>
          <t>N/A (review)</t>
        </is>
      </c>
      <c r="J68" t="inlineStr">
        <is>
          <t>AUC under internal vs. domain-shifted validation</t>
        </is>
      </c>
      <c r="K68" t="inlineStr">
        <is>
          <t>Reported AUC 0.76-0.98 internally, dropping to 0.53-0.57 under domain shift; domain-adaptation techniques recovered only 0.1-34.2% of the gap</t>
        </is>
      </c>
      <c r="L68" t="inlineStr">
        <is>
          <t>Review synthesizing internal vs. external/domain-shift results across the field</t>
        </is>
      </c>
      <c r="M68" t="inlineStr">
        <is>
          <t>Discussed as a field-wide gap, not implemented</t>
        </is>
      </c>
      <c r="N68" t="inlineStr">
        <is>
          <t>Qualitative synthesis; does not report a single pooled point estimate</t>
        </is>
      </c>
      <c r="O68" t="inlineStr">
        <is>
          <t>Authors argue the translational gap between benchmark AUC and real-world deployment is the central unsolved problem in caries AI, not raw model accuracy</t>
        </is>
      </c>
      <c r="P68" t="inlineStr">
        <is>
          <t>N/A -- review paper, cited for context</t>
        </is>
      </c>
      <c r="Q68" t="inlineStr">
        <is>
          <t>This is the strongest quantified evidence in the corpus for why internally-validated metrics (like our own caries 81% validation accuracy) should not be read as clinical performance without external testing</t>
        </is>
      </c>
      <c r="R68" t="inlineStr">
        <is>
          <t>C5 – Datasets &amp; Clinical Validation</t>
        </is>
      </c>
    </row>
    <row r="69">
      <c r="A69" t="inlineStr">
        <is>
          <t>Paper 68</t>
        </is>
      </c>
      <c r="B69" t="inlineStr">
        <is>
          <t>From Algorithmic Performance to Clinical Translation: Translational Readiness of Imaging-Based Artificial Intelligence in Dentistry - A Systematic Review</t>
        </is>
      </c>
      <c r="C69" t="inlineStr">
        <is>
          <t>Healthcare (MDPI)</t>
        </is>
      </c>
      <c r="D69" t="n">
        <v>2026</v>
      </c>
      <c r="E69" t="inlineStr">
        <is>
          <t>Carlos M. Ardila, Anny M. Vivares-Builes, Eliana Pineda-Vélez</t>
        </is>
      </c>
      <c r="F69" s="56" t="inlineStr">
        <is>
          <t>https://doi.org/10.3390/healthcare14131952</t>
        </is>
      </c>
      <c r="G69" t="inlineStr">
        <is>
          <t>Systematic review against six translational-readiness domains</t>
        </is>
      </c>
      <c r="H69" t="inlineStr">
        <is>
          <t>15 studies synthesized</t>
        </is>
      </c>
      <c r="I69" t="inlineStr">
        <is>
          <t>15 studies (systematic review)</t>
        </is>
      </c>
      <c r="J69" t="inlineStr">
        <is>
          <t>PROSPERO-registered protocol (CRD420261402398)</t>
        </is>
      </c>
      <c r="K69" t="inlineStr">
        <is>
          <t>Qualitative synthesis across six readiness domains (no single pooled metric)</t>
        </is>
      </c>
      <c r="L69" t="inlineStr">
        <is>
          <t>Review</t>
        </is>
      </c>
      <c r="M69" t="inlineStr">
        <is>
          <t>N/A (review)</t>
        </is>
      </c>
      <c r="N69" t="inlineStr">
        <is>
          <t>Most reviewed dental-AI studies field-wide have not been assessed against clinical workflow, cost, or patient-outcome criteria</t>
        </is>
      </c>
      <c r="O69" t="inlineStr">
        <is>
          <t>Authors call for translational-readiness reporting to become standard alongside accuracy metrics</t>
        </is>
      </c>
      <c r="P69" t="inlineStr">
        <is>
          <t>N/A -- review paper</t>
        </is>
      </c>
      <c r="Q69" t="inlineStr">
        <is>
          <t>Confirms field-wide that clinical workflow/outcome evaluation (our own unmet Gap 5) is the norm, not an exception specific to our project</t>
        </is>
      </c>
      <c r="R69" t="inlineStr">
        <is>
          <t>C5 – Datasets &amp; Clinical Validation</t>
        </is>
      </c>
    </row>
    <row r="70">
      <c r="A70" t="inlineStr">
        <is>
          <t>Paper 69</t>
        </is>
      </c>
      <c r="B70" t="inlineStr">
        <is>
          <t>BRAR-anchored multimodal dataset of panoramic radiographs for periodontal bone resorption grading</t>
        </is>
      </c>
      <c r="C70" t="inlineStr">
        <is>
          <t>Scientific Data (Nature Portfolio)</t>
        </is>
      </c>
      <c r="D70" t="n">
        <v>2025</v>
      </c>
      <c r="E70" t="inlineStr">
        <is>
          <t>Yiru Xia, Zhi Li, Zhikai Lin, Shuai Wang, Yaqi Wang, Yufeng Xie</t>
        </is>
      </c>
      <c r="F70" s="56" t="inlineStr">
        <is>
          <t>https://doi.org/10.1038/s41597-025-06400-y</t>
        </is>
      </c>
      <c r="G70" t="inlineStr">
        <is>
          <t>EfficientNet-B0 baseline classifier released alongside the dataset</t>
        </is>
      </c>
      <c r="H70" t="inlineStr">
        <is>
          <t>BRAR (Bone-loss Radiographic Assessment Repository) -- newly released public multimodal dataset</t>
        </is>
      </c>
      <c r="I70" t="inlineStr">
        <is>
          <t>1,104 patients</t>
        </is>
      </c>
      <c r="J70" t="inlineStr">
        <is>
          <t>Baseline classification accuracy; inter-rater agreement</t>
        </is>
      </c>
      <c r="K70" t="inlineStr">
        <is>
          <t>EfficientNet-B0 baseline accuracy=63.3%; inter-rater agreement kappa=0.88</t>
        </is>
      </c>
      <c r="L70" t="inlineStr">
        <is>
          <t>Inter-rater agreement study across annotators (kappa=0.88); baseline model internal only</t>
        </is>
      </c>
      <c r="M70" t="inlineStr">
        <is>
          <t>Not reported for the baseline model</t>
        </is>
      </c>
      <c r="N70" t="inlineStr">
        <is>
          <t>Baseline accuracy (63.3%) is modest, positioned as a reference floor rather than a strong result; online publication date close to 2025/2026 boundary -- confirm final citation year at proof stage</t>
        </is>
      </c>
      <c r="O70" t="inlineStr">
        <is>
          <t>Authors release this as a shared benchmark specifically to enable external validation of periodontal bone-loss grading models</t>
        </is>
      </c>
      <c r="P70" t="inlineStr">
        <is>
          <t>Our bone-loss branch already exceeds this baseline's accuracy on Tufts (macro-F1=0.9233 vs. this baseline's 63.3% accuracy, though on different datasets/metrics -- not directly comparable)</t>
        </is>
      </c>
      <c r="Q70" t="inlineStr">
        <is>
          <t>BRAR is a newly released, public, multi-rater-validated dataset (kappa=0.88); we have not evaluated our bone-loss model on BRAR and cannot yet claim cross-dataset generalization to it</t>
        </is>
      </c>
      <c r="R70" t="inlineStr">
        <is>
          <t>C5 – Datasets &amp; Clinical Validation</t>
        </is>
      </c>
    </row>
    <row r="71">
      <c r="A71" t="inlineStr">
        <is>
          <t>Paper 70</t>
        </is>
      </c>
      <c r="B71" t="inlineStr">
        <is>
          <t>Radiographic diagnosis of periodontitis using artificial intelligence: a meta-analysis comparing binary and staging classifications across imaging modalities</t>
        </is>
      </c>
      <c r="C71" t="inlineStr">
        <is>
          <t>BMC Oral Health (Springer)</t>
        </is>
      </c>
      <c r="D71" t="n">
        <v>2025</v>
      </c>
      <c r="E71" t="inlineStr">
        <is>
          <t>Ji-Eun Lee, Eunhye Choi, Jun-Beom Park</t>
        </is>
      </c>
      <c r="F71" s="56" t="inlineStr">
        <is>
          <t>https://doi.org/10.1186/s12903-025-07171-z</t>
        </is>
      </c>
      <c r="G71" t="inlineStr">
        <is>
          <t>Meta-analysis (pooled sensitivity/specificity/AUC by modality and task type)</t>
        </is>
      </c>
      <c r="H71" t="inlineStr">
        <is>
          <t>23 studies synthesized</t>
        </is>
      </c>
      <c r="I71" t="inlineStr">
        <is>
          <t>23 studies (meta-analysis)</t>
        </is>
      </c>
      <c r="J71" t="inlineStr">
        <is>
          <t>Pooled sensitivity, specificity, AUC, stratified by imaging modality and by binary-vs-staging task</t>
        </is>
      </c>
      <c r="K71" t="inlineStr">
        <is>
          <t>Pooled performance reported separately for binary detection vs. staging classification, and by modality (panoramic/periapical/bitewing/CBCT)</t>
        </is>
      </c>
      <c r="L71" t="inlineStr">
        <is>
          <t>Meta-analysis (systematic review)</t>
        </is>
      </c>
      <c r="M71" t="inlineStr">
        <is>
          <t>Not reported (review)</t>
        </is>
      </c>
      <c r="N71" t="inlineStr">
        <is>
          <t>High between-study heterogeneity; staging-task pooled performance systematically lower than binary-task pooled performance</t>
        </is>
      </c>
      <c r="O71" t="inlineStr">
        <is>
          <t>Authors argue future studies should report staging performance separately from binary detection rather than conflating the two</t>
        </is>
      </c>
      <c r="P71" t="inlineStr">
        <is>
          <t>N/A -- review paper, cited for context</t>
        </is>
      </c>
      <c r="Q71" t="inlineStr">
        <is>
          <t>Directly supports this survey's own repeated finding that severity/stage classification is a harder, less-mature task than binary detection -- our own bone-loss severity F1 (0.72) vs. binary F1 (0.9233) shows the same pattern within our own pipeline</t>
        </is>
      </c>
      <c r="R71" t="inlineStr">
        <is>
          <t>C2 – Periodontal Disease &amp; Bone Loss</t>
        </is>
      </c>
    </row>
    <row r="72">
      <c r="F72" s="56" t="n"/>
    </row>
    <row r="73">
      <c r="F73" s="56" t="n"/>
    </row>
    <row r="74">
      <c r="F74" s="56" t="n"/>
    </row>
    <row r="75">
      <c r="F75" s="56" t="n"/>
    </row>
    <row r="76">
      <c r="F76" s="56" t="n"/>
    </row>
    <row r="77">
      <c r="F77" s="56" t="n"/>
    </row>
    <row r="78">
      <c r="F78" s="56" t="n"/>
    </row>
    <row r="79">
      <c r="F79" s="56" t="n"/>
    </row>
    <row r="80">
      <c r="F80" s="56" t="n"/>
    </row>
    <row r="81">
      <c r="F81" s="56" t="n"/>
    </row>
    <row r="82">
      <c r="F82" s="56" t="n"/>
    </row>
    <row r="83">
      <c r="F83" s="56" t="n"/>
    </row>
    <row r="84">
      <c r="F84" s="56" t="n"/>
    </row>
    <row r="85">
      <c r="F85" s="56" t="n"/>
    </row>
    <row r="86">
      <c r="F86" s="56" t="n"/>
    </row>
    <row r="87">
      <c r="F87" s="56" t="n"/>
      <c r="S87" s="57" t="n"/>
    </row>
    <row r="88">
      <c r="F88" s="56" t="n"/>
    </row>
    <row r="89">
      <c r="F89" s="56" t="n"/>
    </row>
    <row r="90">
      <c r="F90" s="56" t="n"/>
    </row>
    <row r="91">
      <c r="F91" s="56" t="n"/>
    </row>
    <row r="92">
      <c r="F92" s="56" t="n"/>
    </row>
    <row r="93">
      <c r="F93" s="56" t="n"/>
    </row>
    <row r="94">
      <c r="F94" s="56" t="n"/>
    </row>
    <row r="95">
      <c r="F95" s="56" t="n"/>
    </row>
    <row r="96">
      <c r="F96" s="56" t="n"/>
    </row>
    <row r="97">
      <c r="F97" s="56" t="n"/>
    </row>
    <row r="98">
      <c r="F98" s="56" t="n"/>
    </row>
    <row r="99">
      <c r="F99" s="56" t="n"/>
    </row>
    <row r="100">
      <c r="F100" s="56" t="n"/>
    </row>
    <row r="101">
      <c r="F101" s="56" t="n"/>
    </row>
    <row r="102">
      <c r="F102" s="56" t="n"/>
    </row>
    <row r="103">
      <c r="F103" s="56" t="n"/>
    </row>
    <row r="104">
      <c r="F104" s="56" t="n"/>
    </row>
    <row r="105">
      <c r="F105" s="56" t="n"/>
    </row>
    <row r="106">
      <c r="F106" s="56" t="n"/>
    </row>
    <row r="107">
      <c r="F107" s="56" t="n"/>
    </row>
    <row r="108">
      <c r="F108" s="56" t="n"/>
    </row>
    <row r="109">
      <c r="F109" s="56" t="n"/>
    </row>
    <row r="110">
      <c r="F110" s="56" t="n"/>
    </row>
    <row r="111">
      <c r="F111" s="56" t="n"/>
    </row>
    <row r="112">
      <c r="F112" s="56" t="n"/>
    </row>
    <row r="113">
      <c r="F113" s="56" t="n"/>
    </row>
    <row r="114">
      <c r="F114" s="56" t="n"/>
    </row>
    <row r="115">
      <c r="F115" s="56" t="n"/>
    </row>
    <row r="116">
      <c r="F116" s="56" t="n"/>
    </row>
    <row r="117">
      <c r="F117" s="56" t="n"/>
    </row>
    <row r="118">
      <c r="F118" s="56" t="n"/>
    </row>
    <row r="119">
      <c r="F119" s="56" t="n"/>
    </row>
    <row r="120">
      <c r="F120" s="56" t="n"/>
    </row>
    <row r="121">
      <c r="F121" s="56" t="n"/>
    </row>
    <row r="122">
      <c r="F122" s="56" t="n"/>
    </row>
    <row r="123">
      <c r="F123" s="56" t="n"/>
    </row>
    <row r="124">
      <c r="F124" s="56" t="n"/>
    </row>
    <row r="125">
      <c r="F125" s="56" t="n"/>
    </row>
    <row r="126">
      <c r="F126" s="56" t="n"/>
    </row>
    <row r="127">
      <c r="F127" s="56" t="n"/>
    </row>
    <row r="128">
      <c r="F128" s="56" t="n"/>
    </row>
    <row r="129">
      <c r="F129" s="56" t="n"/>
    </row>
    <row r="130">
      <c r="F130" s="56" t="n"/>
    </row>
    <row r="131">
      <c r="F131" s="56" t="n"/>
    </row>
    <row r="132">
      <c r="F132" s="56" t="n"/>
    </row>
    <row r="133">
      <c r="F133" s="56" t="n"/>
    </row>
    <row r="134">
      <c r="F134" s="56" t="n"/>
    </row>
    <row r="135">
      <c r="F135" s="56" t="n"/>
    </row>
    <row r="136">
      <c r="F136" s="56" t="n"/>
    </row>
    <row r="137">
      <c r="F137" s="56" t="n"/>
    </row>
    <row r="138">
      <c r="F138" s="56" t="n"/>
    </row>
    <row r="139">
      <c r="F139" s="56" t="n"/>
    </row>
    <row r="140">
      <c r="F140" s="56" t="n"/>
    </row>
    <row r="141">
      <c r="F141" s="56" t="n"/>
    </row>
    <row r="142">
      <c r="F142" s="56" t="n"/>
    </row>
    <row r="143">
      <c r="F143" s="56" t="n"/>
    </row>
    <row r="144">
      <c r="F144" s="56" t="n"/>
    </row>
    <row r="145">
      <c r="F145" s="56" t="n"/>
    </row>
    <row r="146">
      <c r="F146" s="56" t="n"/>
    </row>
    <row r="147">
      <c r="F147" s="56" t="n"/>
    </row>
    <row r="148">
      <c r="F148" s="56" t="n"/>
    </row>
    <row r="149">
      <c r="F149" s="56" t="n"/>
    </row>
    <row r="150">
      <c r="F150" s="56" t="n"/>
    </row>
    <row r="151">
      <c r="F151" s="56" t="n"/>
    </row>
    <row r="152">
      <c r="F152" s="56" t="n"/>
    </row>
    <row r="153">
      <c r="F153" s="56" t="n"/>
    </row>
    <row r="154">
      <c r="F154" s="56" t="n"/>
    </row>
    <row r="155">
      <c r="F155" s="56" t="n"/>
    </row>
    <row r="156">
      <c r="F156" s="56" t="n"/>
    </row>
    <row r="157">
      <c r="F157" s="56" t="n"/>
    </row>
    <row r="158">
      <c r="F158" s="56" t="n"/>
    </row>
    <row r="159">
      <c r="F159" s="56" t="n"/>
    </row>
    <row r="160">
      <c r="F160" s="56" t="n"/>
    </row>
    <row r="161">
      <c r="F161" s="56" t="n"/>
    </row>
    <row r="162">
      <c r="F162" s="56" t="n"/>
    </row>
    <row r="163">
      <c r="F163" s="56" t="n"/>
    </row>
    <row r="164">
      <c r="F164" s="56" t="n"/>
    </row>
    <row r="165">
      <c r="F165" s="56" t="n"/>
    </row>
    <row r="166">
      <c r="F166" s="56" t="n"/>
    </row>
    <row r="167">
      <c r="F167" s="56" t="n"/>
    </row>
    <row r="168">
      <c r="F168" s="56" t="n"/>
    </row>
    <row r="169">
      <c r="F169" s="56" t="n"/>
    </row>
    <row r="170">
      <c r="F170" s="56" t="n"/>
    </row>
    <row r="171">
      <c r="F171" s="56" t="n"/>
    </row>
    <row r="172">
      <c r="F172" s="56" t="n"/>
    </row>
    <row r="173">
      <c r="F173" s="56" t="n"/>
    </row>
    <row r="174">
      <c r="F174" s="56" t="n"/>
    </row>
    <row r="175">
      <c r="F175" s="56" t="n"/>
    </row>
    <row r="176">
      <c r="F176" s="56" t="n"/>
    </row>
    <row r="177">
      <c r="F177" s="56" t="n"/>
    </row>
    <row r="178">
      <c r="F178" s="56" t="n"/>
    </row>
    <row r="179">
      <c r="F179" s="56" t="n"/>
    </row>
    <row r="180">
      <c r="F180" s="56" t="n"/>
    </row>
    <row r="181">
      <c r="F181" s="56" t="n"/>
    </row>
    <row r="182">
      <c r="F182" s="56" t="n"/>
    </row>
    <row r="183">
      <c r="F183" s="56" t="n"/>
    </row>
    <row r="184">
      <c r="F184" s="56" t="n"/>
    </row>
    <row r="185">
      <c r="F185" s="56" t="n"/>
    </row>
    <row r="186">
      <c r="F186" s="56" t="n"/>
    </row>
    <row r="187">
      <c r="F187" s="56" t="n"/>
    </row>
    <row r="188">
      <c r="F188" s="56" t="n"/>
    </row>
    <row r="189">
      <c r="F189" s="56" t="n"/>
    </row>
    <row r="190">
      <c r="F190" s="56" t="n"/>
    </row>
    <row r="191">
      <c r="F191" s="56" t="n"/>
    </row>
    <row r="192">
      <c r="F192" s="56" t="n"/>
    </row>
    <row r="193">
      <c r="F193" s="56" t="n"/>
    </row>
    <row r="194">
      <c r="F194" s="56" t="n"/>
    </row>
    <row r="195">
      <c r="F195" s="56" t="n"/>
    </row>
    <row r="196">
      <c r="F196" s="56" t="n"/>
    </row>
    <row r="197">
      <c r="F197" s="56" t="n"/>
    </row>
    <row r="198">
      <c r="F198" s="56" t="n"/>
    </row>
    <row r="199">
      <c r="F199" s="56" t="n"/>
    </row>
    <row r="200">
      <c r="F200" s="56" t="n"/>
    </row>
    <row r="201">
      <c r="F201" s="56" t="n"/>
    </row>
    <row r="202">
      <c r="F202" s="56" t="n"/>
    </row>
    <row r="203">
      <c r="F203" s="56" t="n"/>
    </row>
    <row r="204">
      <c r="F204" s="56" t="n"/>
    </row>
    <row r="205">
      <c r="F205" s="56" t="n"/>
    </row>
    <row r="206">
      <c r="F206" s="56" t="n"/>
    </row>
    <row r="207">
      <c r="F207" s="56" t="n"/>
    </row>
    <row r="208">
      <c r="F208" s="56" t="n"/>
    </row>
    <row r="209">
      <c r="F209" s="56" t="n"/>
    </row>
    <row r="210">
      <c r="F210" s="56" t="n"/>
    </row>
    <row r="211">
      <c r="F211" s="56" t="n"/>
    </row>
    <row r="212">
      <c r="F212" s="56" t="n"/>
    </row>
    <row r="213">
      <c r="F213" s="56" t="n"/>
    </row>
    <row r="214">
      <c r="F214" s="56" t="n"/>
    </row>
    <row r="215">
      <c r="F215" s="56" t="n"/>
    </row>
    <row r="216">
      <c r="F216" s="56" t="n"/>
    </row>
    <row r="217">
      <c r="F217" s="56" t="n"/>
    </row>
    <row r="218">
      <c r="F218" s="56" t="n"/>
    </row>
    <row r="219">
      <c r="F219" s="56" t="n"/>
    </row>
    <row r="220">
      <c r="F220" s="56" t="n"/>
    </row>
    <row r="221">
      <c r="F221" s="56" t="n"/>
    </row>
    <row r="222">
      <c r="F222" s="56" t="n"/>
    </row>
    <row r="223">
      <c r="F223" s="56" t="n"/>
    </row>
    <row r="224">
      <c r="F224" s="56" t="n"/>
    </row>
    <row r="225">
      <c r="F225" s="56" t="n"/>
    </row>
    <row r="226">
      <c r="F226" s="56" t="n"/>
    </row>
    <row r="227">
      <c r="F227" s="56" t="n"/>
    </row>
    <row r="228">
      <c r="F228" s="56" t="n"/>
    </row>
    <row r="229">
      <c r="F229" s="56" t="n"/>
    </row>
    <row r="230">
      <c r="F230" s="56" t="n"/>
    </row>
    <row r="231">
      <c r="F231" s="56" t="n"/>
    </row>
    <row r="232">
      <c r="F232" s="56" t="n"/>
    </row>
    <row r="233">
      <c r="F233" s="56" t="n"/>
    </row>
    <row r="234">
      <c r="F234" s="56" t="n"/>
    </row>
    <row r="235">
      <c r="F235" s="56" t="n"/>
    </row>
    <row r="236">
      <c r="F236" s="56" t="n"/>
    </row>
    <row r="237">
      <c r="F237" s="56" t="n"/>
    </row>
    <row r="238">
      <c r="F238" s="56" t="n"/>
    </row>
    <row r="239">
      <c r="F239" s="56" t="n"/>
    </row>
    <row r="240">
      <c r="F240" s="56" t="n"/>
    </row>
    <row r="241">
      <c r="F241" s="56" t="n"/>
    </row>
    <row r="242">
      <c r="F242" s="56" t="n"/>
    </row>
    <row r="243">
      <c r="F243" s="56" t="n"/>
    </row>
    <row r="244">
      <c r="F244" s="56" t="n"/>
    </row>
    <row r="245">
      <c r="F245" s="56" t="n"/>
    </row>
    <row r="246">
      <c r="F246" s="56" t="n"/>
    </row>
    <row r="247">
      <c r="F247" s="56" t="n"/>
    </row>
    <row r="248">
      <c r="F248" s="56" t="n"/>
    </row>
    <row r="249">
      <c r="F249" s="56" t="n"/>
    </row>
    <row r="250">
      <c r="F250" s="56" t="n"/>
    </row>
    <row r="251">
      <c r="F251" s="56" t="n"/>
    </row>
    <row r="252">
      <c r="F252" s="56" t="n"/>
    </row>
    <row r="253">
      <c r="F253" s="56" t="n"/>
    </row>
    <row r="254">
      <c r="F254" s="56" t="n"/>
    </row>
    <row r="255">
      <c r="F255" s="56" t="n"/>
    </row>
    <row r="256">
      <c r="F256" s="56" t="n"/>
    </row>
    <row r="257">
      <c r="F257" s="56" t="n"/>
    </row>
    <row r="258">
      <c r="F258" s="56" t="n"/>
    </row>
    <row r="259">
      <c r="F259" s="56" t="n"/>
    </row>
    <row r="260">
      <c r="F260" s="56" t="n"/>
    </row>
    <row r="261">
      <c r="F261" s="56" t="n"/>
    </row>
    <row r="262">
      <c r="F262" s="56" t="n"/>
    </row>
    <row r="263">
      <c r="F263" s="56" t="n"/>
    </row>
    <row r="264">
      <c r="F264" s="56" t="n"/>
    </row>
    <row r="265">
      <c r="F265" s="56" t="n"/>
    </row>
    <row r="266">
      <c r="F266" s="56" t="n"/>
    </row>
    <row r="267">
      <c r="F267" s="56" t="n"/>
    </row>
    <row r="268">
      <c r="F268" s="56" t="n"/>
    </row>
    <row r="269">
      <c r="F269" s="56" t="n"/>
    </row>
    <row r="270">
      <c r="F270" s="56" t="n"/>
    </row>
    <row r="271">
      <c r="F271" s="56" t="n"/>
    </row>
    <row r="272">
      <c r="F272" s="56" t="n"/>
    </row>
    <row r="273">
      <c r="F273" s="56" t="n"/>
    </row>
    <row r="274">
      <c r="F274" s="56" t="n"/>
    </row>
    <row r="275">
      <c r="F275" s="56" t="n"/>
    </row>
    <row r="276">
      <c r="F276" s="56" t="n"/>
    </row>
    <row r="277">
      <c r="F277" s="56" t="n"/>
    </row>
    <row r="278">
      <c r="F278" s="56" t="n"/>
    </row>
    <row r="279">
      <c r="F279" s="56" t="n"/>
    </row>
    <row r="280">
      <c r="F280" s="56" t="n"/>
    </row>
    <row r="281">
      <c r="F281" s="56" t="n"/>
    </row>
    <row r="282">
      <c r="F282" s="56" t="n"/>
    </row>
    <row r="283">
      <c r="F283" s="56" t="n"/>
    </row>
    <row r="284">
      <c r="F284" s="56" t="n"/>
    </row>
    <row r="285">
      <c r="F285" s="56" t="n"/>
    </row>
    <row r="286">
      <c r="F286" s="56" t="n"/>
    </row>
    <row r="287">
      <c r="F287" s="56" t="n"/>
    </row>
    <row r="288">
      <c r="F288" s="56" t="n"/>
    </row>
    <row r="289">
      <c r="F289" s="56" t="n"/>
    </row>
    <row r="290">
      <c r="F290" s="56" t="n"/>
    </row>
    <row r="291">
      <c r="F291" s="56" t="n"/>
    </row>
    <row r="292">
      <c r="F292" s="56" t="n"/>
    </row>
    <row r="293">
      <c r="F293" s="56" t="n"/>
    </row>
    <row r="294">
      <c r="F294" s="56" t="n"/>
    </row>
    <row r="295">
      <c r="F295" s="56" t="n"/>
    </row>
    <row r="296">
      <c r="F296" s="56" t="n"/>
    </row>
    <row r="297">
      <c r="F297" s="56" t="n"/>
    </row>
    <row r="298">
      <c r="F298" s="56" t="n"/>
    </row>
    <row r="299">
      <c r="F299" s="56" t="n"/>
    </row>
    <row r="300">
      <c r="F300" s="56" t="n"/>
    </row>
    <row r="301">
      <c r="F301" s="56" t="n"/>
    </row>
    <row r="302">
      <c r="F302" s="56" t="n"/>
    </row>
    <row r="303">
      <c r="F303" s="56" t="n"/>
    </row>
    <row r="304">
      <c r="F304" s="56" t="n"/>
    </row>
    <row r="305">
      <c r="F305" s="56" t="n"/>
    </row>
    <row r="306">
      <c r="F306" s="56" t="n"/>
    </row>
    <row r="307">
      <c r="F307" s="56" t="n"/>
    </row>
    <row r="308">
      <c r="F308" s="56" t="n"/>
    </row>
    <row r="309">
      <c r="F309" s="56" t="n"/>
    </row>
    <row r="310">
      <c r="F310" s="56" t="n"/>
    </row>
    <row r="311">
      <c r="F311" s="56" t="n"/>
    </row>
    <row r="312">
      <c r="F312" s="56" t="n"/>
    </row>
    <row r="313">
      <c r="F313" s="56" t="n"/>
    </row>
    <row r="314">
      <c r="F314" s="56" t="n"/>
    </row>
    <row r="315">
      <c r="F315" s="56" t="n"/>
    </row>
    <row r="316">
      <c r="F316" s="56" t="n"/>
    </row>
    <row r="317">
      <c r="F317" s="56" t="n"/>
    </row>
    <row r="318">
      <c r="F318" s="56" t="n"/>
    </row>
    <row r="319">
      <c r="F319" s="56" t="n"/>
    </row>
    <row r="320">
      <c r="F320" s="56" t="n"/>
    </row>
    <row r="321">
      <c r="F321" s="56" t="n"/>
    </row>
    <row r="322">
      <c r="F322" s="56" t="n"/>
    </row>
    <row r="323">
      <c r="F323" s="56" t="n"/>
    </row>
    <row r="324">
      <c r="F324" s="56" t="n"/>
    </row>
    <row r="325">
      <c r="F325" s="56" t="n"/>
    </row>
    <row r="326">
      <c r="F326" s="56" t="n"/>
    </row>
    <row r="327">
      <c r="F327" s="56" t="n"/>
    </row>
    <row r="328">
      <c r="F328" s="56" t="n"/>
    </row>
    <row r="329">
      <c r="F329" s="56" t="n"/>
    </row>
    <row r="330">
      <c r="F330" s="56" t="n"/>
    </row>
    <row r="331">
      <c r="F331" s="56" t="n"/>
    </row>
    <row r="332">
      <c r="F332" s="56" t="n"/>
    </row>
    <row r="333">
      <c r="F333" s="56" t="n"/>
    </row>
    <row r="334">
      <c r="F334" s="56" t="n"/>
    </row>
    <row r="335">
      <c r="F335" s="56" t="n"/>
    </row>
    <row r="336">
      <c r="F336" s="56" t="n"/>
    </row>
    <row r="337">
      <c r="F337" s="56" t="n"/>
    </row>
    <row r="338">
      <c r="F338" s="56" t="n"/>
    </row>
    <row r="339">
      <c r="F339" s="56" t="n"/>
    </row>
    <row r="340">
      <c r="F340" s="56" t="n"/>
    </row>
    <row r="341">
      <c r="F341" s="56" t="n"/>
    </row>
    <row r="342">
      <c r="F342" s="56" t="n"/>
    </row>
    <row r="343">
      <c r="F343" s="56" t="n"/>
    </row>
    <row r="344">
      <c r="F344" s="56" t="n"/>
    </row>
    <row r="345">
      <c r="F345" s="56" t="n"/>
    </row>
    <row r="346">
      <c r="F346" s="56" t="n"/>
    </row>
    <row r="347">
      <c r="F347" s="56" t="n"/>
    </row>
    <row r="348">
      <c r="F348" s="56" t="n"/>
    </row>
    <row r="349">
      <c r="F349" s="56" t="n"/>
    </row>
    <row r="350">
      <c r="F350" s="56" t="n"/>
    </row>
    <row r="351">
      <c r="F351" s="56" t="n"/>
    </row>
    <row r="352">
      <c r="F352" s="56" t="n"/>
    </row>
    <row r="353">
      <c r="F353" s="56" t="n"/>
    </row>
    <row r="354">
      <c r="F354" s="56" t="n"/>
    </row>
    <row r="355">
      <c r="F355" s="56" t="n"/>
    </row>
    <row r="356">
      <c r="F356" s="56" t="n"/>
    </row>
    <row r="357">
      <c r="F357" s="56" t="n"/>
    </row>
    <row r="358">
      <c r="F358" s="56" t="n"/>
    </row>
    <row r="359">
      <c r="F359" s="56" t="n"/>
    </row>
    <row r="360">
      <c r="F360" s="56" t="n"/>
    </row>
    <row r="361">
      <c r="F361" s="56" t="n"/>
    </row>
    <row r="362">
      <c r="F362" s="56" t="n"/>
    </row>
    <row r="363">
      <c r="F363" s="56" t="n"/>
    </row>
    <row r="364">
      <c r="F364" s="56" t="n"/>
    </row>
    <row r="365">
      <c r="F365" s="56" t="n"/>
    </row>
    <row r="366">
      <c r="F366" s="56" t="n"/>
    </row>
    <row r="367">
      <c r="F367" s="56" t="n"/>
    </row>
    <row r="368">
      <c r="F368" s="56" t="n"/>
    </row>
    <row r="369">
      <c r="F369" s="56" t="n"/>
    </row>
    <row r="370">
      <c r="F370" s="56" t="n"/>
    </row>
    <row r="371">
      <c r="F371" s="56" t="n"/>
    </row>
    <row r="372">
      <c r="F372" s="56" t="n"/>
    </row>
    <row r="373">
      <c r="F373" s="56" t="n"/>
    </row>
    <row r="374">
      <c r="F374" s="56" t="n"/>
    </row>
    <row r="375">
      <c r="F375" s="56" t="n"/>
    </row>
    <row r="376">
      <c r="F376" s="56" t="n"/>
    </row>
    <row r="377">
      <c r="F377" s="56" t="n"/>
    </row>
    <row r="378">
      <c r="F378" s="56" t="n"/>
    </row>
    <row r="379">
      <c r="F379" s="56" t="n"/>
    </row>
    <row r="380">
      <c r="F380" s="56" t="n"/>
    </row>
    <row r="381">
      <c r="F381" s="56" t="n"/>
    </row>
    <row r="382">
      <c r="F382" s="56" t="n"/>
    </row>
    <row r="383">
      <c r="F383" s="56" t="n"/>
    </row>
    <row r="384">
      <c r="F384" s="56" t="n"/>
    </row>
    <row r="385">
      <c r="F385" s="56" t="n"/>
    </row>
    <row r="386">
      <c r="F386" s="56" t="n"/>
    </row>
    <row r="387">
      <c r="F387" s="56" t="n"/>
    </row>
    <row r="388">
      <c r="F388" s="56" t="n"/>
    </row>
    <row r="389">
      <c r="F389" s="56" t="n"/>
    </row>
    <row r="390">
      <c r="F390" s="56" t="n"/>
    </row>
    <row r="391">
      <c r="F391" s="56" t="n"/>
    </row>
    <row r="392">
      <c r="F392" s="56" t="n"/>
    </row>
    <row r="393">
      <c r="F393" s="56" t="n"/>
    </row>
    <row r="394">
      <c r="F394" s="56" t="n"/>
    </row>
    <row r="395">
      <c r="F395" s="56" t="n"/>
    </row>
    <row r="396">
      <c r="F396" s="56" t="n"/>
    </row>
    <row r="397">
      <c r="F397" s="56" t="n"/>
    </row>
    <row r="398">
      <c r="F398" s="56" t="n"/>
    </row>
    <row r="399">
      <c r="F399" s="56" t="n"/>
    </row>
    <row r="400">
      <c r="F400" s="56" t="n"/>
    </row>
    <row r="401">
      <c r="F401" s="56" t="n"/>
    </row>
    <row r="402">
      <c r="F402" s="56" t="n"/>
    </row>
    <row r="403">
      <c r="F403" s="56" t="n"/>
    </row>
    <row r="404">
      <c r="F404" s="56" t="n"/>
    </row>
    <row r="405">
      <c r="F405" s="56" t="n"/>
    </row>
    <row r="406">
      <c r="F406" s="56" t="n"/>
    </row>
    <row r="407">
      <c r="F407" s="56" t="n"/>
    </row>
    <row r="408">
      <c r="F408" s="56" t="n"/>
    </row>
    <row r="409">
      <c r="F409" s="56" t="n"/>
    </row>
    <row r="410">
      <c r="F410" s="56" t="n"/>
    </row>
    <row r="411">
      <c r="F411" s="56" t="n"/>
    </row>
    <row r="412">
      <c r="F412" s="56" t="n"/>
    </row>
    <row r="413">
      <c r="F413" s="56" t="n"/>
    </row>
    <row r="414">
      <c r="F414" s="56" t="n"/>
    </row>
    <row r="415">
      <c r="F415" s="56" t="n"/>
    </row>
    <row r="416">
      <c r="F416" s="56" t="n"/>
    </row>
    <row r="417">
      <c r="F417" s="56" t="n"/>
    </row>
    <row r="418">
      <c r="F418" s="56" t="n"/>
    </row>
    <row r="419">
      <c r="F419" s="56" t="n"/>
    </row>
    <row r="420">
      <c r="F420" s="56" t="n"/>
    </row>
    <row r="421">
      <c r="F421" s="56" t="n"/>
    </row>
    <row r="422">
      <c r="F422" s="56" t="n"/>
    </row>
    <row r="423">
      <c r="F423" s="56" t="n"/>
    </row>
    <row r="424">
      <c r="F424" s="56" t="n"/>
    </row>
    <row r="425">
      <c r="F425" s="56" t="n"/>
    </row>
    <row r="426">
      <c r="F426" s="56" t="n"/>
    </row>
    <row r="427">
      <c r="F427" s="56" t="n"/>
    </row>
    <row r="428">
      <c r="F428" s="56" t="n"/>
    </row>
    <row r="429">
      <c r="F429" s="56" t="n"/>
    </row>
    <row r="430">
      <c r="F430" s="56" t="n"/>
    </row>
    <row r="431">
      <c r="F431" s="56" t="n"/>
    </row>
    <row r="432">
      <c r="F432" s="56" t="n"/>
    </row>
    <row r="433">
      <c r="F433" s="56" t="n"/>
    </row>
    <row r="434">
      <c r="F434" s="56" t="n"/>
    </row>
    <row r="435">
      <c r="F435" s="56" t="n"/>
    </row>
    <row r="436">
      <c r="F436" s="56" t="n"/>
    </row>
    <row r="437">
      <c r="F437" s="56" t="n"/>
    </row>
    <row r="438">
      <c r="F438" s="56" t="n"/>
    </row>
    <row r="439">
      <c r="F439" s="56" t="n"/>
    </row>
    <row r="440">
      <c r="F440" s="56" t="n"/>
    </row>
    <row r="441">
      <c r="F441" s="56" t="n"/>
    </row>
    <row r="442">
      <c r="F442" s="56" t="n"/>
    </row>
    <row r="443">
      <c r="F443" s="56" t="n"/>
    </row>
    <row r="444">
      <c r="F444" s="56" t="n"/>
    </row>
    <row r="445">
      <c r="F445" s="56" t="n"/>
    </row>
    <row r="446">
      <c r="F446" s="56" t="n"/>
    </row>
    <row r="447">
      <c r="F447" s="56" t="n"/>
    </row>
    <row r="448">
      <c r="F448" s="56" t="n"/>
    </row>
    <row r="449">
      <c r="F449" s="56" t="n"/>
    </row>
    <row r="450">
      <c r="F450" s="56" t="n"/>
    </row>
    <row r="451">
      <c r="F451" s="56" t="n"/>
    </row>
    <row r="452">
      <c r="F452" s="56" t="n"/>
    </row>
    <row r="453">
      <c r="F453" s="56" t="n"/>
    </row>
    <row r="454">
      <c r="F454" s="56" t="n"/>
    </row>
    <row r="455">
      <c r="F455" s="56" t="n"/>
    </row>
    <row r="456">
      <c r="F456" s="56" t="n"/>
    </row>
    <row r="457">
      <c r="F457" s="56" t="n"/>
    </row>
    <row r="458">
      <c r="F458" s="56" t="n"/>
    </row>
    <row r="459">
      <c r="F459" s="56" t="n"/>
    </row>
    <row r="460">
      <c r="F460" s="56" t="n"/>
    </row>
    <row r="461">
      <c r="F461" s="56" t="n"/>
    </row>
    <row r="462">
      <c r="F462" s="56" t="n"/>
    </row>
    <row r="463">
      <c r="F463" s="56" t="n"/>
    </row>
    <row r="464">
      <c r="F464" s="56" t="n"/>
    </row>
    <row r="465">
      <c r="F465" s="56" t="n"/>
    </row>
    <row r="466">
      <c r="F466" s="56" t="n"/>
    </row>
    <row r="467">
      <c r="F467" s="56" t="n"/>
    </row>
    <row r="468">
      <c r="F468" s="56" t="n"/>
    </row>
    <row r="469">
      <c r="F469" s="56" t="n"/>
    </row>
    <row r="470">
      <c r="F470" s="56" t="n"/>
    </row>
    <row r="471">
      <c r="F471" s="56" t="n"/>
    </row>
    <row r="472">
      <c r="F472" s="56" t="n"/>
    </row>
    <row r="473">
      <c r="F473" s="56" t="n"/>
    </row>
    <row r="474">
      <c r="F474" s="56" t="n"/>
    </row>
    <row r="475">
      <c r="F475" s="56" t="n"/>
    </row>
    <row r="476">
      <c r="F476" s="56" t="n"/>
    </row>
    <row r="477">
      <c r="F477" s="56" t="n"/>
    </row>
    <row r="478">
      <c r="F478" s="56" t="n"/>
    </row>
    <row r="479">
      <c r="F479" s="56" t="n"/>
    </row>
    <row r="480">
      <c r="F480" s="56" t="n"/>
    </row>
    <row r="481">
      <c r="F481" s="56" t="n"/>
    </row>
    <row r="482">
      <c r="F482" s="56" t="n"/>
    </row>
    <row r="483">
      <c r="F483" s="56" t="n"/>
    </row>
    <row r="484">
      <c r="F484" s="56" t="n"/>
    </row>
    <row r="485">
      <c r="F485" s="56" t="n"/>
    </row>
    <row r="486">
      <c r="F486" s="56" t="n"/>
    </row>
    <row r="487">
      <c r="F487" s="56" t="n"/>
    </row>
    <row r="488">
      <c r="F488" s="56" t="n"/>
    </row>
    <row r="489">
      <c r="F489" s="56" t="n"/>
    </row>
    <row r="490">
      <c r="F490" s="56" t="n"/>
    </row>
    <row r="491">
      <c r="F491" s="56" t="n"/>
    </row>
    <row r="492">
      <c r="F492" s="56" t="n"/>
    </row>
    <row r="493">
      <c r="F493" s="56" t="n"/>
    </row>
    <row r="494">
      <c r="F494" s="56" t="n"/>
    </row>
    <row r="495">
      <c r="F495" s="56" t="n"/>
    </row>
    <row r="496">
      <c r="F496" s="56" t="n"/>
    </row>
    <row r="497">
      <c r="F497" s="56" t="n"/>
    </row>
    <row r="498">
      <c r="F498" s="56" t="n"/>
    </row>
    <row r="499">
      <c r="F499" s="56" t="n"/>
    </row>
    <row r="500">
      <c r="F500" s="56" t="n"/>
    </row>
    <row r="501">
      <c r="F501" s="56" t="n"/>
    </row>
    <row r="502">
      <c r="F502" s="56" t="n"/>
    </row>
    <row r="503">
      <c r="F503" s="56" t="n"/>
    </row>
    <row r="504">
      <c r="F504" s="56" t="n"/>
    </row>
    <row r="505">
      <c r="F505" s="56" t="n"/>
    </row>
    <row r="506">
      <c r="F506" s="56" t="n"/>
    </row>
    <row r="507">
      <c r="F507" s="56" t="n"/>
    </row>
    <row r="508">
      <c r="F508" s="56" t="n"/>
    </row>
    <row r="509">
      <c r="F509" s="56" t="n"/>
    </row>
    <row r="510">
      <c r="F510" s="56" t="n"/>
    </row>
    <row r="511">
      <c r="F511" s="56" t="n"/>
    </row>
    <row r="512">
      <c r="F512" s="56" t="n"/>
    </row>
    <row r="513">
      <c r="F513" s="56" t="n"/>
    </row>
    <row r="514">
      <c r="F514" s="56" t="n"/>
    </row>
    <row r="515">
      <c r="F515" s="56" t="n"/>
    </row>
    <row r="516">
      <c r="F516" s="56" t="n"/>
    </row>
    <row r="517">
      <c r="F517" s="56" t="n"/>
    </row>
    <row r="518">
      <c r="F518" s="56" t="n"/>
    </row>
    <row r="519">
      <c r="F519" s="56" t="n"/>
    </row>
    <row r="520">
      <c r="F520" s="56" t="n"/>
    </row>
    <row r="521">
      <c r="F521" s="56" t="n"/>
    </row>
    <row r="522">
      <c r="F522" s="56" t="n"/>
    </row>
    <row r="523">
      <c r="F523" s="56" t="n"/>
    </row>
    <row r="524">
      <c r="F524" s="56" t="n"/>
    </row>
    <row r="525">
      <c r="F525" s="56" t="n"/>
    </row>
    <row r="526">
      <c r="F526" s="56" t="n"/>
    </row>
    <row r="527">
      <c r="F527" s="56" t="n"/>
    </row>
    <row r="528">
      <c r="F528" s="56" t="n"/>
    </row>
    <row r="529">
      <c r="F529" s="56" t="n"/>
    </row>
    <row r="530">
      <c r="F530" s="56" t="n"/>
    </row>
    <row r="531">
      <c r="F531" s="56" t="n"/>
    </row>
    <row r="532">
      <c r="F532" s="56" t="n"/>
    </row>
    <row r="533">
      <c r="F533" s="56" t="n"/>
    </row>
    <row r="534">
      <c r="F534" s="56" t="n"/>
    </row>
    <row r="535">
      <c r="F535" s="56" t="n"/>
    </row>
    <row r="536">
      <c r="F536" s="56" t="n"/>
    </row>
    <row r="537">
      <c r="F537" s="56" t="n"/>
    </row>
    <row r="538">
      <c r="F538" s="56" t="n"/>
    </row>
    <row r="539">
      <c r="F539" s="56" t="n"/>
    </row>
    <row r="540">
      <c r="F540" s="56" t="n"/>
    </row>
    <row r="541">
      <c r="F541" s="56" t="n"/>
    </row>
    <row r="542">
      <c r="F542" s="56" t="n"/>
    </row>
    <row r="543">
      <c r="F543" s="56" t="n"/>
    </row>
    <row r="544">
      <c r="F544" s="56" t="n"/>
    </row>
    <row r="545">
      <c r="F545" s="56" t="n"/>
    </row>
    <row r="546">
      <c r="F546" s="56" t="n"/>
    </row>
    <row r="547">
      <c r="F547" s="56" t="n"/>
    </row>
    <row r="548">
      <c r="F548" s="56" t="n"/>
    </row>
    <row r="549">
      <c r="F549" s="56" t="n"/>
    </row>
    <row r="550">
      <c r="F550" s="56" t="n"/>
    </row>
    <row r="551">
      <c r="F551" s="56" t="n"/>
    </row>
    <row r="552">
      <c r="F552" s="56" t="n"/>
    </row>
    <row r="553">
      <c r="F553" s="56" t="n"/>
    </row>
    <row r="554">
      <c r="F554" s="56" t="n"/>
    </row>
    <row r="555">
      <c r="F555" s="56" t="n"/>
    </row>
    <row r="556">
      <c r="F556" s="56" t="n"/>
    </row>
    <row r="557">
      <c r="F557" s="56" t="n"/>
    </row>
    <row r="558">
      <c r="F558" s="56" t="n"/>
    </row>
    <row r="559">
      <c r="F559" s="56" t="n"/>
    </row>
    <row r="560">
      <c r="F560" s="56" t="n"/>
    </row>
    <row r="561">
      <c r="F561" s="56" t="n"/>
    </row>
    <row r="562">
      <c r="F562" s="56" t="n"/>
    </row>
    <row r="563">
      <c r="F563" s="56" t="n"/>
    </row>
    <row r="564">
      <c r="F564" s="56" t="n"/>
    </row>
    <row r="565">
      <c r="F565" s="56" t="n"/>
    </row>
    <row r="566">
      <c r="F566" s="56" t="n"/>
    </row>
    <row r="567">
      <c r="F567" s="56" t="n"/>
    </row>
    <row r="568">
      <c r="F568" s="56" t="n"/>
    </row>
    <row r="569">
      <c r="F569" s="56" t="n"/>
    </row>
    <row r="570">
      <c r="F570" s="56" t="n"/>
    </row>
    <row r="571">
      <c r="F571" s="56" t="n"/>
    </row>
    <row r="572">
      <c r="F572" s="56" t="n"/>
    </row>
    <row r="573">
      <c r="F573" s="56" t="n"/>
    </row>
    <row r="574">
      <c r="F574" s="56" t="n"/>
    </row>
    <row r="575">
      <c r="F575" s="56" t="n"/>
    </row>
    <row r="576">
      <c r="F576" s="56" t="n"/>
    </row>
    <row r="577">
      <c r="F577" s="56" t="n"/>
    </row>
    <row r="578">
      <c r="F578" s="56" t="n"/>
    </row>
    <row r="579">
      <c r="F579" s="56" t="n"/>
    </row>
    <row r="580">
      <c r="F580" s="56" t="n"/>
    </row>
    <row r="581">
      <c r="F581" s="56" t="n"/>
    </row>
    <row r="582">
      <c r="F582" s="56" t="n"/>
    </row>
    <row r="583">
      <c r="F583" s="56" t="n"/>
    </row>
    <row r="584">
      <c r="F584" s="56" t="n"/>
    </row>
    <row r="585">
      <c r="F585" s="56" t="n"/>
    </row>
    <row r="586">
      <c r="F586" s="56" t="n"/>
    </row>
    <row r="587">
      <c r="F587" s="56" t="n"/>
    </row>
    <row r="588">
      <c r="F588" s="56" t="n"/>
    </row>
    <row r="589">
      <c r="F589" s="56" t="n"/>
    </row>
    <row r="590">
      <c r="F590" s="56" t="n"/>
    </row>
    <row r="591">
      <c r="F591" s="56" t="n"/>
    </row>
    <row r="592">
      <c r="F592" s="56" t="n"/>
    </row>
    <row r="593">
      <c r="F593" s="56" t="n"/>
    </row>
    <row r="594">
      <c r="F594" s="56" t="n"/>
    </row>
    <row r="595">
      <c r="F595" s="56" t="n"/>
    </row>
    <row r="596">
      <c r="F596" s="56" t="n"/>
    </row>
    <row r="597">
      <c r="F597" s="56" t="n"/>
    </row>
    <row r="598">
      <c r="F598" s="56" t="n"/>
    </row>
    <row r="599">
      <c r="F599" s="56" t="n"/>
    </row>
    <row r="600">
      <c r="F600" s="56" t="n"/>
    </row>
    <row r="601">
      <c r="F601" s="56" t="n"/>
    </row>
    <row r="602">
      <c r="F602" s="56" t="n"/>
    </row>
    <row r="603">
      <c r="F603" s="56" t="n"/>
    </row>
    <row r="604">
      <c r="F604" s="56" t="n"/>
    </row>
    <row r="605">
      <c r="F605" s="56" t="n"/>
    </row>
    <row r="606">
      <c r="F606" s="56" t="n"/>
    </row>
    <row r="607">
      <c r="F607" s="56" t="n"/>
    </row>
    <row r="608">
      <c r="F608" s="56" t="n"/>
    </row>
    <row r="609">
      <c r="F609" s="56" t="n"/>
    </row>
    <row r="610">
      <c r="F610" s="56" t="n"/>
    </row>
    <row r="611">
      <c r="F611" s="56" t="n"/>
    </row>
    <row r="612">
      <c r="F612" s="56" t="n"/>
    </row>
    <row r="613">
      <c r="F613" s="56" t="n"/>
    </row>
    <row r="614">
      <c r="F614" s="56" t="n"/>
    </row>
    <row r="615">
      <c r="F615" s="56" t="n"/>
    </row>
    <row r="616">
      <c r="F616" s="56" t="n"/>
    </row>
    <row r="617">
      <c r="F617" s="56" t="n"/>
    </row>
    <row r="618">
      <c r="F618" s="56" t="n"/>
    </row>
    <row r="619">
      <c r="F619" s="56" t="n"/>
    </row>
    <row r="620">
      <c r="F620" s="56" t="n"/>
    </row>
    <row r="621">
      <c r="F621" s="56" t="n"/>
    </row>
    <row r="622">
      <c r="F622" s="56" t="n"/>
    </row>
    <row r="623">
      <c r="F623" s="56" t="n"/>
    </row>
    <row r="624">
      <c r="F624" s="56" t="n"/>
    </row>
    <row r="625">
      <c r="F625" s="56" t="n"/>
    </row>
    <row r="626">
      <c r="F626" s="56" t="n"/>
    </row>
    <row r="627">
      <c r="F627" s="56" t="n"/>
    </row>
    <row r="628">
      <c r="F628" s="56" t="n"/>
    </row>
    <row r="629">
      <c r="F629" s="56" t="n"/>
    </row>
    <row r="630">
      <c r="F630" s="56" t="n"/>
    </row>
    <row r="631">
      <c r="F631" s="56" t="n"/>
    </row>
    <row r="632">
      <c r="F632" s="56" t="n"/>
    </row>
    <row r="633">
      <c r="F633" s="56" t="n"/>
    </row>
    <row r="634">
      <c r="F634" s="56" t="n"/>
    </row>
    <row r="635">
      <c r="F635" s="56" t="n"/>
    </row>
    <row r="636">
      <c r="F636" s="56" t="n"/>
    </row>
    <row r="637">
      <c r="F637" s="56" t="n"/>
    </row>
    <row r="638">
      <c r="F638" s="56" t="n"/>
    </row>
    <row r="639">
      <c r="F639" s="56" t="n"/>
    </row>
    <row r="640">
      <c r="F640" s="56" t="n"/>
    </row>
    <row r="641">
      <c r="F641" s="56" t="n"/>
    </row>
    <row r="642">
      <c r="F642" s="56" t="n"/>
    </row>
    <row r="643">
      <c r="F643" s="56" t="n"/>
    </row>
    <row r="644">
      <c r="F644" s="56" t="n"/>
    </row>
    <row r="645">
      <c r="F645" s="56" t="n"/>
    </row>
    <row r="646">
      <c r="F646" s="56" t="n"/>
    </row>
    <row r="647">
      <c r="F647" s="56" t="n"/>
    </row>
    <row r="648">
      <c r="F648" s="56" t="n"/>
    </row>
    <row r="649">
      <c r="F649" s="56" t="n"/>
    </row>
    <row r="650">
      <c r="F650" s="56" t="n"/>
    </row>
    <row r="651">
      <c r="F651" s="56" t="n"/>
    </row>
    <row r="652">
      <c r="F652" s="56" t="n"/>
    </row>
    <row r="653">
      <c r="F653" s="56" t="n"/>
    </row>
    <row r="654">
      <c r="F654" s="56" t="n"/>
    </row>
    <row r="655">
      <c r="F655" s="56" t="n"/>
    </row>
    <row r="656">
      <c r="F656" s="56" t="n"/>
    </row>
    <row r="657">
      <c r="F657" s="56" t="n"/>
    </row>
    <row r="658">
      <c r="F658" s="56" t="n"/>
    </row>
    <row r="659">
      <c r="F659" s="56" t="n"/>
    </row>
    <row r="660">
      <c r="F660" s="56" t="n"/>
    </row>
    <row r="661">
      <c r="F661" s="56" t="n"/>
    </row>
    <row r="662">
      <c r="F662" s="56" t="n"/>
    </row>
    <row r="663">
      <c r="F663" s="56" t="n"/>
    </row>
    <row r="664">
      <c r="F664" s="56" t="n"/>
    </row>
    <row r="665">
      <c r="F665" s="56" t="n"/>
    </row>
    <row r="666">
      <c r="F666" s="56" t="n"/>
    </row>
    <row r="667">
      <c r="F667" s="56" t="n"/>
    </row>
    <row r="668">
      <c r="F668" s="56" t="n"/>
    </row>
    <row r="669">
      <c r="F669" s="56" t="n"/>
    </row>
    <row r="670">
      <c r="F670" s="56" t="n"/>
    </row>
    <row r="671">
      <c r="F671" s="56" t="n"/>
    </row>
    <row r="672">
      <c r="F672" s="56" t="n"/>
    </row>
    <row r="673">
      <c r="F673" s="56" t="n"/>
    </row>
    <row r="674">
      <c r="F674" s="56" t="n"/>
    </row>
    <row r="675">
      <c r="F675" s="56" t="n"/>
    </row>
    <row r="676">
      <c r="F676" s="56" t="n"/>
    </row>
    <row r="677">
      <c r="F677" s="56" t="n"/>
    </row>
    <row r="678">
      <c r="F678" s="56" t="n"/>
    </row>
    <row r="679">
      <c r="F679" s="56" t="n"/>
    </row>
    <row r="680">
      <c r="F680" s="56" t="n"/>
    </row>
    <row r="681">
      <c r="F681" s="56" t="n"/>
    </row>
    <row r="682">
      <c r="F682" s="56" t="n"/>
    </row>
    <row r="683">
      <c r="F683" s="56" t="n"/>
    </row>
    <row r="684">
      <c r="F684" s="56" t="n"/>
    </row>
    <row r="685">
      <c r="F685" s="56" t="n"/>
    </row>
    <row r="686">
      <c r="F686" s="56" t="n"/>
    </row>
    <row r="687">
      <c r="F687" s="56" t="n"/>
    </row>
    <row r="688">
      <c r="F688" s="56" t="n"/>
    </row>
    <row r="689">
      <c r="F689" s="56" t="n"/>
    </row>
    <row r="690">
      <c r="F690" s="56" t="n"/>
    </row>
    <row r="691">
      <c r="F691" s="56" t="n"/>
    </row>
    <row r="692">
      <c r="F692" s="56" t="n"/>
    </row>
    <row r="693">
      <c r="F693" s="56" t="n"/>
    </row>
    <row r="694">
      <c r="F694" s="56" t="n"/>
    </row>
    <row r="695">
      <c r="F695" s="56" t="n"/>
    </row>
    <row r="696">
      <c r="F696" s="56" t="n"/>
    </row>
    <row r="697">
      <c r="F697" s="56" t="n"/>
    </row>
    <row r="698">
      <c r="F698" s="56" t="n"/>
    </row>
    <row r="699">
      <c r="F699" s="56" t="n"/>
    </row>
    <row r="700">
      <c r="F700" s="56" t="n"/>
    </row>
    <row r="701">
      <c r="F701" s="56" t="n"/>
    </row>
    <row r="702">
      <c r="F702" s="56" t="n"/>
    </row>
    <row r="703">
      <c r="F703" s="56" t="n"/>
    </row>
    <row r="704">
      <c r="F704" s="56" t="n"/>
    </row>
    <row r="705">
      <c r="F705" s="56" t="n"/>
    </row>
    <row r="706">
      <c r="F706" s="56" t="n"/>
    </row>
    <row r="707">
      <c r="F707" s="56" t="n"/>
    </row>
    <row r="708">
      <c r="F708" s="56" t="n"/>
    </row>
    <row r="709">
      <c r="F709" s="56" t="n"/>
    </row>
    <row r="710">
      <c r="F710" s="56" t="n"/>
    </row>
    <row r="711">
      <c r="F711" s="56" t="n"/>
    </row>
    <row r="712">
      <c r="F712" s="56" t="n"/>
    </row>
    <row r="713">
      <c r="F713" s="56" t="n"/>
    </row>
    <row r="714">
      <c r="F714" s="56" t="n"/>
    </row>
    <row r="715">
      <c r="F715" s="56" t="n"/>
    </row>
    <row r="716">
      <c r="F716" s="56" t="n"/>
    </row>
    <row r="717">
      <c r="F717" s="56" t="n"/>
    </row>
    <row r="718">
      <c r="F718" s="56" t="n"/>
    </row>
    <row r="719">
      <c r="F719" s="56" t="n"/>
    </row>
    <row r="720">
      <c r="F720" s="56" t="n"/>
    </row>
    <row r="721">
      <c r="F721" s="56" t="n"/>
    </row>
    <row r="722">
      <c r="F722" s="56" t="n"/>
    </row>
    <row r="723">
      <c r="F723" s="56" t="n"/>
    </row>
    <row r="724">
      <c r="F724" s="56" t="n"/>
    </row>
    <row r="725">
      <c r="F725" s="56" t="n"/>
    </row>
    <row r="726">
      <c r="F726" s="56" t="n"/>
    </row>
    <row r="727">
      <c r="F727" s="56" t="n"/>
    </row>
    <row r="728">
      <c r="F728" s="56" t="n"/>
    </row>
    <row r="729">
      <c r="F729" s="56" t="n"/>
    </row>
    <row r="730">
      <c r="F730" s="56" t="n"/>
    </row>
    <row r="731">
      <c r="F731" s="56" t="n"/>
    </row>
    <row r="732">
      <c r="F732" s="56" t="n"/>
    </row>
    <row r="733">
      <c r="F733" s="56" t="n"/>
    </row>
    <row r="734">
      <c r="F734" s="56" t="n"/>
    </row>
    <row r="735">
      <c r="F735" s="56" t="n"/>
    </row>
    <row r="736">
      <c r="F736" s="56" t="n"/>
    </row>
    <row r="737">
      <c r="F737" s="56" t="n"/>
    </row>
    <row r="738">
      <c r="F738" s="56" t="n"/>
    </row>
    <row r="739">
      <c r="F739" s="56" t="n"/>
    </row>
    <row r="740">
      <c r="F740" s="56" t="n"/>
    </row>
    <row r="741">
      <c r="F741" s="56" t="n"/>
    </row>
    <row r="742">
      <c r="F742" s="56" t="n"/>
    </row>
    <row r="743">
      <c r="F743" s="56" t="n"/>
    </row>
    <row r="744">
      <c r="F744" s="56" t="n"/>
    </row>
    <row r="745">
      <c r="F745" s="56" t="n"/>
    </row>
    <row r="746">
      <c r="F746" s="56" t="n"/>
    </row>
    <row r="747">
      <c r="F747" s="56" t="n"/>
    </row>
    <row r="748">
      <c r="F748" s="56" t="n"/>
    </row>
    <row r="749">
      <c r="F749" s="56" t="n"/>
    </row>
    <row r="750">
      <c r="F750" s="56" t="n"/>
    </row>
    <row r="751">
      <c r="F751" s="56" t="n"/>
    </row>
    <row r="752">
      <c r="F752" s="56" t="n"/>
    </row>
    <row r="753">
      <c r="F753" s="56" t="n"/>
    </row>
    <row r="754">
      <c r="F754" s="56" t="n"/>
    </row>
    <row r="755">
      <c r="F755" s="56" t="n"/>
    </row>
    <row r="756">
      <c r="F756" s="56" t="n"/>
    </row>
    <row r="757">
      <c r="F757" s="56" t="n"/>
    </row>
    <row r="758">
      <c r="F758" s="56" t="n"/>
    </row>
    <row r="759">
      <c r="F759" s="56" t="n"/>
    </row>
    <row r="760">
      <c r="F760" s="56" t="n"/>
    </row>
    <row r="761">
      <c r="F761" s="56" t="n"/>
    </row>
    <row r="762">
      <c r="F762" s="56" t="n"/>
    </row>
    <row r="763">
      <c r="F763" s="56" t="n"/>
    </row>
    <row r="764">
      <c r="F764" s="56" t="n"/>
    </row>
    <row r="765">
      <c r="F765" s="56" t="n"/>
    </row>
    <row r="766">
      <c r="F766" s="56" t="n"/>
    </row>
    <row r="767">
      <c r="F767" s="56" t="n"/>
    </row>
    <row r="768">
      <c r="F768" s="56" t="n"/>
    </row>
    <row r="769">
      <c r="F769" s="56" t="n"/>
    </row>
    <row r="770">
      <c r="F770" s="56" t="n"/>
    </row>
    <row r="771">
      <c r="F771" s="56" t="n"/>
    </row>
    <row r="772">
      <c r="F772" s="56" t="n"/>
    </row>
    <row r="773">
      <c r="F773" s="56" t="n"/>
    </row>
    <row r="774">
      <c r="F774" s="56" t="n"/>
    </row>
    <row r="775">
      <c r="F775" s="56" t="n"/>
    </row>
    <row r="776">
      <c r="F776" s="56" t="n"/>
    </row>
    <row r="777">
      <c r="F777" s="56" t="n"/>
    </row>
    <row r="778">
      <c r="F778" s="56" t="n"/>
    </row>
    <row r="779">
      <c r="F779" s="56" t="n"/>
    </row>
    <row r="780">
      <c r="F780" s="56" t="n"/>
    </row>
    <row r="781">
      <c r="F781" s="56" t="n"/>
    </row>
    <row r="782">
      <c r="F782" s="56" t="n"/>
    </row>
    <row r="783">
      <c r="F783" s="56" t="n"/>
    </row>
    <row r="784">
      <c r="F784" s="56" t="n"/>
    </row>
    <row r="785">
      <c r="F785" s="56" t="n"/>
    </row>
    <row r="786">
      <c r="F786" s="56" t="n"/>
    </row>
    <row r="787">
      <c r="F787" s="56" t="n"/>
    </row>
    <row r="788">
      <c r="F788" s="56" t="n"/>
    </row>
    <row r="789">
      <c r="F789" s="56" t="n"/>
    </row>
    <row r="790">
      <c r="F790" s="56" t="n"/>
    </row>
    <row r="791">
      <c r="F791" s="56" t="n"/>
    </row>
    <row r="792">
      <c r="F792" s="56" t="n"/>
    </row>
    <row r="793">
      <c r="F793" s="56" t="n"/>
    </row>
    <row r="794">
      <c r="F794" s="56" t="n"/>
    </row>
    <row r="795">
      <c r="F795" s="56" t="n"/>
    </row>
    <row r="796">
      <c r="F796" s="56" t="n"/>
    </row>
    <row r="797">
      <c r="F797" s="56" t="n"/>
    </row>
    <row r="798">
      <c r="F798" s="56" t="n"/>
    </row>
    <row r="799">
      <c r="F799" s="56" t="n"/>
    </row>
    <row r="800">
      <c r="F800" s="56" t="n"/>
    </row>
    <row r="801">
      <c r="F801" s="56" t="n"/>
    </row>
    <row r="802">
      <c r="F802" s="56" t="n"/>
    </row>
    <row r="803">
      <c r="F803" s="56" t="n"/>
    </row>
    <row r="804">
      <c r="F804" s="56" t="n"/>
    </row>
    <row r="805">
      <c r="F805" s="56" t="n"/>
    </row>
    <row r="806">
      <c r="F806" s="56" t="n"/>
    </row>
    <row r="807">
      <c r="F807" s="56" t="n"/>
    </row>
    <row r="808">
      <c r="F808" s="56" t="n"/>
    </row>
    <row r="809">
      <c r="F809" s="56" t="n"/>
    </row>
    <row r="810">
      <c r="F810" s="56" t="n"/>
    </row>
    <row r="811">
      <c r="F811" s="56" t="n"/>
    </row>
    <row r="812">
      <c r="F812" s="56" t="n"/>
    </row>
    <row r="813">
      <c r="F813" s="56" t="n"/>
    </row>
    <row r="814">
      <c r="F814" s="56" t="n"/>
    </row>
    <row r="815">
      <c r="F815" s="56" t="n"/>
    </row>
    <row r="816">
      <c r="F816" s="56" t="n"/>
    </row>
    <row r="817">
      <c r="F817" s="56" t="n"/>
    </row>
    <row r="818">
      <c r="F818" s="56" t="n"/>
    </row>
    <row r="819">
      <c r="F819" s="56" t="n"/>
    </row>
    <row r="820">
      <c r="F820" s="56" t="n"/>
    </row>
    <row r="821">
      <c r="F821" s="56" t="n"/>
    </row>
    <row r="822">
      <c r="F822" s="56" t="n"/>
    </row>
    <row r="823">
      <c r="F823" s="56" t="n"/>
    </row>
    <row r="824">
      <c r="F824" s="56" t="n"/>
    </row>
    <row r="825">
      <c r="F825" s="56" t="n"/>
    </row>
    <row r="826">
      <c r="F826" s="56" t="n"/>
    </row>
    <row r="827">
      <c r="F827" s="56" t="n"/>
    </row>
    <row r="828">
      <c r="F828" s="56" t="n"/>
    </row>
    <row r="829">
      <c r="F829" s="56" t="n"/>
    </row>
    <row r="830">
      <c r="F830" s="56" t="n"/>
    </row>
    <row r="831">
      <c r="F831" s="56" t="n"/>
    </row>
    <row r="832">
      <c r="F832" s="56" t="n"/>
    </row>
    <row r="833">
      <c r="F833" s="56" t="n"/>
    </row>
    <row r="834">
      <c r="F834" s="56" t="n"/>
    </row>
    <row r="835">
      <c r="F835" s="56" t="n"/>
    </row>
    <row r="836">
      <c r="F836" s="56" t="n"/>
    </row>
    <row r="837">
      <c r="F837" s="56" t="n"/>
    </row>
    <row r="838">
      <c r="F838" s="56" t="n"/>
    </row>
    <row r="839">
      <c r="F839" s="56" t="n"/>
    </row>
    <row r="840">
      <c r="F840" s="56" t="n"/>
    </row>
    <row r="841">
      <c r="F841" s="56" t="n"/>
    </row>
    <row r="842">
      <c r="F842" s="56" t="n"/>
    </row>
    <row r="843">
      <c r="F843" s="56" t="n"/>
    </row>
    <row r="844">
      <c r="F844" s="56" t="n"/>
    </row>
    <row r="845">
      <c r="F845" s="56" t="n"/>
    </row>
    <row r="846">
      <c r="F846" s="56" t="n"/>
    </row>
    <row r="847">
      <c r="F847" s="56" t="n"/>
    </row>
    <row r="848">
      <c r="F848" s="56" t="n"/>
    </row>
    <row r="849">
      <c r="F849" s="56" t="n"/>
    </row>
    <row r="850">
      <c r="F850" s="56" t="n"/>
    </row>
    <row r="851">
      <c r="F851" s="56" t="n"/>
    </row>
    <row r="852">
      <c r="F852" s="56" t="n"/>
    </row>
    <row r="853">
      <c r="F853" s="56" t="n"/>
    </row>
    <row r="854">
      <c r="F854" s="56" t="n"/>
    </row>
    <row r="855">
      <c r="F855" s="56" t="n"/>
    </row>
    <row r="856">
      <c r="F856" s="56" t="n"/>
    </row>
    <row r="857">
      <c r="F857" s="56" t="n"/>
    </row>
    <row r="858">
      <c r="F858" s="56" t="n"/>
    </row>
    <row r="859">
      <c r="F859" s="56" t="n"/>
    </row>
    <row r="860">
      <c r="F860" s="56" t="n"/>
    </row>
    <row r="861">
      <c r="F861" s="56" t="n"/>
    </row>
    <row r="862">
      <c r="F862" s="56" t="n"/>
    </row>
    <row r="863">
      <c r="F863" s="56" t="n"/>
    </row>
    <row r="864">
      <c r="F864" s="56" t="n"/>
    </row>
    <row r="865">
      <c r="F865" s="56" t="n"/>
    </row>
    <row r="866">
      <c r="F866" s="56" t="n"/>
    </row>
    <row r="867">
      <c r="F867" s="56" t="n"/>
    </row>
    <row r="868">
      <c r="F868" s="56" t="n"/>
    </row>
    <row r="869">
      <c r="F869" s="56" t="n"/>
    </row>
    <row r="870">
      <c r="F870" s="56" t="n"/>
    </row>
    <row r="871">
      <c r="F871" s="56" t="n"/>
    </row>
    <row r="872">
      <c r="F872" s="56" t="n"/>
    </row>
    <row r="873">
      <c r="F873" s="56" t="n"/>
    </row>
    <row r="874">
      <c r="F874" s="56" t="n"/>
    </row>
    <row r="875">
      <c r="F875" s="56" t="n"/>
    </row>
    <row r="876">
      <c r="F876" s="56" t="n"/>
    </row>
    <row r="877">
      <c r="F877" s="56" t="n"/>
    </row>
    <row r="878">
      <c r="F878" s="56" t="n"/>
    </row>
    <row r="879">
      <c r="F879" s="56" t="n"/>
    </row>
    <row r="880">
      <c r="F880" s="56" t="n"/>
    </row>
    <row r="881">
      <c r="F881" s="56" t="n"/>
    </row>
    <row r="882">
      <c r="F882" s="56" t="n"/>
    </row>
    <row r="883">
      <c r="F883" s="56" t="n"/>
    </row>
    <row r="884">
      <c r="F884" s="56" t="n"/>
    </row>
    <row r="885">
      <c r="F885" s="56" t="n"/>
    </row>
    <row r="886">
      <c r="F886" s="56" t="n"/>
    </row>
    <row r="887">
      <c r="F887" s="56" t="n"/>
    </row>
    <row r="888">
      <c r="F888" s="56" t="n"/>
    </row>
    <row r="889">
      <c r="F889" s="56" t="n"/>
    </row>
    <row r="890">
      <c r="F890" s="56" t="n"/>
    </row>
    <row r="891">
      <c r="F891" s="56" t="n"/>
    </row>
    <row r="892">
      <c r="F892" s="56" t="n"/>
    </row>
    <row r="893">
      <c r="F893" s="56" t="n"/>
    </row>
    <row r="894">
      <c r="F894" s="56" t="n"/>
    </row>
    <row r="895">
      <c r="F895" s="56" t="n"/>
    </row>
    <row r="896">
      <c r="F896" s="56" t="n"/>
    </row>
    <row r="897">
      <c r="F897" s="56" t="n"/>
    </row>
    <row r="898">
      <c r="F898" s="56" t="n"/>
    </row>
    <row r="899">
      <c r="F899" s="56" t="n"/>
    </row>
    <row r="900">
      <c r="F900" s="56" t="n"/>
    </row>
    <row r="901">
      <c r="F901" s="56" t="n"/>
    </row>
    <row r="902">
      <c r="F902" s="56" t="n"/>
    </row>
    <row r="903">
      <c r="F903" s="56" t="n"/>
    </row>
    <row r="904">
      <c r="F904" s="56" t="n"/>
    </row>
    <row r="905">
      <c r="F905" s="56" t="n"/>
    </row>
    <row r="906">
      <c r="F906" s="56" t="n"/>
    </row>
    <row r="907">
      <c r="F907" s="56" t="n"/>
    </row>
    <row r="908">
      <c r="F908" s="56" t="n"/>
    </row>
    <row r="909">
      <c r="F909" s="56" t="n"/>
    </row>
    <row r="910">
      <c r="F910" s="56" t="n"/>
    </row>
    <row r="911">
      <c r="F911" s="56" t="n"/>
    </row>
    <row r="912">
      <c r="F912" s="56" t="n"/>
    </row>
    <row r="913">
      <c r="F913" s="56" t="n"/>
    </row>
    <row r="914">
      <c r="F914" s="56" t="n"/>
    </row>
    <row r="915">
      <c r="F915" s="56" t="n"/>
    </row>
    <row r="916">
      <c r="F916" s="56" t="n"/>
    </row>
    <row r="917">
      <c r="F917" s="56" t="n"/>
    </row>
    <row r="918">
      <c r="F918" s="56" t="n"/>
    </row>
    <row r="919">
      <c r="F919" s="56" t="n"/>
    </row>
    <row r="920">
      <c r="F920" s="56" t="n"/>
    </row>
    <row r="921">
      <c r="F921" s="56" t="n"/>
    </row>
    <row r="922">
      <c r="F922" s="56" t="n"/>
    </row>
    <row r="923">
      <c r="F923" s="56" t="n"/>
    </row>
    <row r="924">
      <c r="F924" s="56" t="n"/>
    </row>
    <row r="925">
      <c r="F925" s="56" t="n"/>
    </row>
    <row r="926">
      <c r="F926" s="56" t="n"/>
    </row>
    <row r="927">
      <c r="F927" s="56" t="n"/>
    </row>
    <row r="928">
      <c r="F928" s="56" t="n"/>
    </row>
    <row r="929">
      <c r="F929" s="56" t="n"/>
    </row>
    <row r="930">
      <c r="F930" s="56" t="n"/>
    </row>
    <row r="931">
      <c r="F931" s="56" t="n"/>
    </row>
    <row r="932">
      <c r="F932" s="56" t="n"/>
    </row>
    <row r="933">
      <c r="F933" s="56" t="n"/>
    </row>
    <row r="934">
      <c r="F934" s="56" t="n"/>
    </row>
    <row r="935">
      <c r="F935" s="56" t="n"/>
    </row>
    <row r="936">
      <c r="F936" s="56" t="n"/>
    </row>
    <row r="937">
      <c r="F937" s="56" t="n"/>
    </row>
    <row r="938">
      <c r="F938" s="56" t="n"/>
    </row>
    <row r="939">
      <c r="F939" s="56" t="n"/>
    </row>
    <row r="940">
      <c r="F940" s="56" t="n"/>
    </row>
    <row r="941">
      <c r="F941" s="56" t="n"/>
    </row>
    <row r="942">
      <c r="F942" s="56" t="n"/>
    </row>
    <row r="943">
      <c r="F943" s="56" t="n"/>
    </row>
    <row r="944">
      <c r="F944" s="56" t="n"/>
    </row>
    <row r="945">
      <c r="F945" s="56" t="n"/>
    </row>
    <row r="946">
      <c r="F946" s="56" t="n"/>
    </row>
    <row r="947">
      <c r="F947" s="56" t="n"/>
    </row>
    <row r="948">
      <c r="F948" s="56" t="n"/>
    </row>
    <row r="949">
      <c r="F949" s="56" t="n"/>
    </row>
    <row r="950">
      <c r="F950" s="56" t="n"/>
    </row>
    <row r="951">
      <c r="F951" s="56" t="n"/>
    </row>
    <row r="952">
      <c r="F952" s="56" t="n"/>
    </row>
    <row r="953">
      <c r="F953" s="56" t="n"/>
    </row>
    <row r="954">
      <c r="F954" s="56"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s>
  <printOptions horizontalCentered="1" gridLines="1"/>
  <pageMargins left="0.7" right="0.7" top="0.75" bottom="0.75" header="0" footer="0"/>
  <pageSetup orientation="landscape" paperSize="9" fitToHeight="0" pageOrder="overThenDown" cellComments="atEnd"/>
</worksheet>
</file>

<file path=xl/worksheets/sheet2.xml><?xml version="1.0" encoding="utf-8"?>
<worksheet xmlns="http://schemas.openxmlformats.org/spreadsheetml/2006/main">
  <sheetPr>
    <outlinePr summaryBelow="0" summaryRight="0"/>
    <pageSetUpPr fitToPage="1"/>
  </sheetPr>
  <dimension ref="A1:M1018"/>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7.88" customWidth="1" style="59" min="1" max="1"/>
    <col width="41.75" customWidth="1" style="59" min="2" max="2"/>
    <col width="92.88" customWidth="1" style="59" min="3" max="3"/>
    <col width="19.5" customWidth="1" style="59" min="4" max="4"/>
    <col width="84.5" customWidth="1" style="59" min="5" max="5"/>
    <col width="20.13" customWidth="1" style="59" min="6" max="6"/>
  </cols>
  <sheetData>
    <row r="1">
      <c r="A1" s="5" t="inlineStr">
        <is>
          <t>S.No</t>
        </is>
      </c>
      <c r="B1" s="8" t="inlineStr">
        <is>
          <t>Category</t>
        </is>
      </c>
      <c r="C1" s="8" t="inlineStr">
        <is>
          <t>Link</t>
        </is>
      </c>
      <c r="D1" s="8" t="n"/>
      <c r="E1" s="8" t="inlineStr">
        <is>
          <t>Reason</t>
        </is>
      </c>
      <c r="F1" s="9" t="inlineStr">
        <is>
          <t>Sheet 3 Paper Number</t>
        </is>
      </c>
      <c r="G1" s="15" t="n"/>
    </row>
    <row r="2">
      <c r="A2" s="40" t="n">
        <v>1</v>
      </c>
      <c r="B2" s="12" t="inlineStr">
        <is>
          <t>Caries (Cavity) Detection &amp; Severity Classification</t>
        </is>
      </c>
      <c r="C2" s="14" t="inlineStr">
        <is>
          <t>Detection of dental caries under fixed dental prostheses by analyzing digital panoramic radiographs with artificial intelligence algorithms based on deep learning methods | BMC Oral Health</t>
        </is>
      </c>
      <c r="D2" s="40" t="inlineStr">
        <is>
          <t>CORE PAPER</t>
        </is>
      </c>
      <c r="E2" s="15" t="inlineStr">
        <is>
          <t>The study performs direct caries detection using digital panoramic radiographs (OPG). Addresses a clinically challenging scenario (caries under fixed dental prostheses), strengthening its relevance to real-world diagnosis.</t>
        </is>
      </c>
      <c r="F2" s="41" t="n">
        <v>1</v>
      </c>
      <c r="G2" s="15" t="n"/>
    </row>
    <row r="3">
      <c r="C3" s="14" t="inlineStr">
        <is>
          <t>AI-Powered Dental Caries Detection | IEEE Conference Publication</t>
        </is>
      </c>
      <c r="D3" s="41" t="inlineStr">
        <is>
          <t>SUPPORTING PAPER</t>
        </is>
      </c>
      <c r="E3" s="15" t="inlineStr">
        <is>
          <t xml:space="preserve">Directly addresses dental caries detection using AI / deep learning. </t>
        </is>
      </c>
      <c r="F3" s="41" t="n">
        <v>2</v>
      </c>
      <c r="G3" s="15" t="n"/>
    </row>
    <row r="4">
      <c r="C4" s="14" t="inlineStr">
        <is>
          <t>Accuracy of artificial intelligence in caries detection: a systematic review and meta-analysis | Head &amp; Face Medicine | Springer Nature Link</t>
        </is>
      </c>
      <c r="D4" s="40" t="inlineStr">
        <is>
          <t>CORE PAPER</t>
        </is>
      </c>
      <c r="E4" s="15" t="inlineStr">
        <is>
          <t>This is a systematic review and meta-analysis, which provides high-level evidence on AI accuracy in caries detection. Directly supports your capstone’s primary clinical task and is ideal for benchmarking and evidence synthesis.</t>
        </is>
      </c>
      <c r="F4" s="41" t="n">
        <v>17</v>
      </c>
      <c r="G4" s="15" t="n"/>
    </row>
    <row r="5">
      <c r="C5" s="14" t="inlineStr">
        <is>
          <t>A Deep Learning Approach to Automatic Tooth Caries Segmentation in Panoramic Radiographs of Children in Primary Dentition, Mixed Dentition, and Permanent Dentition</t>
        </is>
      </c>
      <c r="D5" s="41" t="inlineStr">
        <is>
          <t>SUPPORTING PAPER</t>
        </is>
      </c>
      <c r="E5" s="15" t="inlineStr">
        <is>
          <t>Task relevance: Performs direct caries segmentation on panoramic radiographs (OPG). However:Focused on pediatric populations only</t>
        </is>
      </c>
      <c r="F5" s="41" t="n">
        <v>8</v>
      </c>
      <c r="G5" s="15" t="n"/>
    </row>
    <row r="6">
      <c r="C6" s="14" t="inlineStr">
        <is>
          <t>Extraction and Evaluation of Caries in Dental X-ray using UNet: A Study | IEEE Conference Publication</t>
        </is>
      </c>
      <c r="D6" s="41" t="inlineStr">
        <is>
          <t>SUPPORTING PAPER</t>
        </is>
      </c>
      <c r="E6" s="15" t="inlineStr">
        <is>
          <t>Directly focuses on caries extraction / segmentation using deep learning (U-Net)</t>
        </is>
      </c>
      <c r="F6" s="41" t="n">
        <v>18</v>
      </c>
      <c r="G6" s="15" t="n"/>
    </row>
    <row r="7">
      <c r="C7" s="14" t="inlineStr">
        <is>
          <t>AI-powered precision in dental radiographic analysis using tailored CNNs for tooth numbering and cavity detection - PMC</t>
        </is>
      </c>
      <c r="D7" s="41" t="inlineStr">
        <is>
          <t>CORE PAPER</t>
        </is>
      </c>
      <c r="E7" s="15" t="inlineStr">
        <is>
          <t>The paper includes explicit cavity (caries) detection, which is a primary objective of your capstone.
Tooth numbering is present but serves as a supporting function for tooth-level disease analysis—this does not dilute relevance.</t>
        </is>
      </c>
      <c r="F7" s="41" t="n">
        <v>31</v>
      </c>
      <c r="G7" s="15" t="n"/>
    </row>
    <row r="8">
      <c r="C8" s="14" t="inlineStr">
        <is>
          <t>Dual convolutional neural network framework for segmenting dental caries in panoramic radiographs - ScienceDirect</t>
        </is>
      </c>
      <c r="D8" s="41" t="inlineStr">
        <is>
          <t>CORE PAPER</t>
        </is>
      </c>
      <c r="E8" s="15" t="inlineStr">
        <is>
          <t>The paper performs direct dental caries segmentation on panoramic radiographs (OPG).
Strong overlap with your capstone objectives:
disease-focused (caries),
pixel-/tooth-level localization,
panoramic modality,
clinically meaningful output.</t>
        </is>
      </c>
      <c r="F8" s="41" t="n">
        <v>33</v>
      </c>
      <c r="G8" s="15" t="n"/>
    </row>
    <row r="9">
      <c r="C9" s="14" t="inlineStr">
        <is>
          <t>A Systematic Review on Caries Detection, Classification, and Segmentation from X-Ray Images: Methods, Datasets, Evaluation, and Open Opportunities</t>
        </is>
      </c>
      <c r="D9" s="41" t="inlineStr">
        <is>
          <t>CORE PAPER</t>
        </is>
      </c>
      <c r="E9" s="15" t="inlineStr">
        <is>
          <t>Content: A systematic review covering caries detection, classification, and segmentation—directly one of your primary capstone objectives.
Although it spans multiple X-ray modalities (not only panoramic), it provides:
comprehensive methodological comparisons,
evaluation metrics and pitfalls,
and clearly stated open challenges that you can map to OPG-based systems.</t>
        </is>
      </c>
      <c r="F9" s="41" t="n">
        <v>34</v>
      </c>
      <c r="G9" s="15" t="n"/>
    </row>
    <row r="10">
      <c r="C10" s="14" t="inlineStr">
        <is>
          <t>Advancing Dental Caries Detection in Panoramic X-rays: A Two-Step Deep Learning Approach</t>
        </is>
      </c>
      <c r="D10" s="41" t="inlineStr">
        <is>
          <t>CORE PAPER</t>
        </is>
      </c>
      <c r="E10" s="15" t="inlineStr">
        <is>
          <t>Uses panoramic radiographs (OPG) 
Focuses on dental caries detection 
Employs a two-step deep learning pipeline (e.g., localization → classification), which:
directly overlaps with your caries detection workflow,
is comparable to many state-of-the-art caries systems you are reviewing.
Strong relevance to your capstone’s disease-centric objective, even if severity levels or explainability differ.</t>
        </is>
      </c>
      <c r="F10" s="41" t="n">
        <v>35</v>
      </c>
      <c r="G10" s="15" t="n"/>
    </row>
    <row r="11">
      <c r="C11" s="14" t="inlineStr">
        <is>
          <t>Detection of tooth decay and its severity based on processing of panoramic radiographic images</t>
        </is>
      </c>
      <c r="D11" s="40" t="inlineStr">
        <is>
          <t>SUPPORTING PAPER</t>
        </is>
      </c>
      <c r="E11" s="15" t="inlineStr">
        <is>
          <t>Modality: Uses panoramic radiographs (OPG) 
Task: Explicitly addresses tooth decay (caries) detection and severity assessment
Overlap with capstone: Strong task alignment with caries severity classification.</t>
        </is>
      </c>
      <c r="F11" s="41" t="n">
        <v>36</v>
      </c>
      <c r="G11" s="15" t="n"/>
    </row>
    <row r="12">
      <c r="C12" s="14" t="inlineStr">
        <is>
          <t>Clinical application of deep learning for enhanced multistage caries detection in panoramic radiographs</t>
        </is>
      </c>
      <c r="D12" s="41" t="inlineStr">
        <is>
          <t>CORE PAPER</t>
        </is>
      </c>
      <c r="E12" s="15" t="inlineStr">
        <is>
          <t>Modality:
Panoramic radiographs (OPG) 
Ground truth validated using bitewing radiographs (gold standard)
Task alignment (exact match with your capstone)
Caries detection
Multi-stage / severity classification (enamel, dentine, pulp)
Tooth-level analysis 
Segmentation + classification 
System design relevance
Two-stage pipeline:
YOLOv5 → tooth detection
Attention U-Net → caries segmentation
This is directly comparable to your architecture choices and literature framing.</t>
        </is>
      </c>
      <c r="F12" s="41" t="n">
        <v>43</v>
      </c>
      <c r="G12" s="15" t="n"/>
    </row>
    <row r="13">
      <c r="C13" s="14" t="inlineStr">
        <is>
          <t>An enhanced deep learning model for detection and classification of dental caries in panoramic radiographs | Neural Computing and Applications</t>
        </is>
      </c>
      <c r="D13" s="41" t="inlineStr">
        <is>
          <t>CORE PAPER</t>
        </is>
      </c>
      <c r="E13" s="15" t="inlineStr">
        <is>
          <t>Modality: Panoramic radiographs (OPG) 
Task: Explicit dental caries detection and classification 
System overlap: Directly aligns with your capstone’s caries detection + classification objective on OPG</t>
        </is>
      </c>
      <c r="F13" s="41" t="n">
        <v>47</v>
      </c>
      <c r="G13" s="15" t="n"/>
    </row>
    <row r="14">
      <c r="C14" s="21" t="n"/>
      <c r="G14" s="15" t="n"/>
    </row>
    <row r="15">
      <c r="C15" s="21" t="n"/>
      <c r="G15" s="15" t="n"/>
    </row>
    <row r="16">
      <c r="A16" s="40" t="n">
        <v>2</v>
      </c>
      <c r="B16" s="22" t="inlineStr">
        <is>
          <t>Periodontal Disease / Alveolar Bone Loss Analysis</t>
        </is>
      </c>
      <c r="C16" s="32" t="n"/>
      <c r="D16" s="32" t="n"/>
      <c r="E16" s="24" t="n"/>
      <c r="F16" s="25" t="n"/>
      <c r="G16" s="15" t="n"/>
    </row>
    <row r="17">
      <c r="C17" s="14" t="inlineStr">
        <is>
          <t>Advanced AI-assisted panoramic radiograph analysis for periodontal prognostication and alveolar bone loss detection</t>
        </is>
      </c>
      <c r="D17" s="41" t="inlineStr">
        <is>
          <t>CORE PAPER</t>
        </is>
      </c>
      <c r="E17" s="15" t="inlineStr">
        <is>
          <t>The paper directly addresses periodontal disease, alveolar bone loss, and prognostication using panoramic radiographs (OPG) — a strong thematic match.</t>
        </is>
      </c>
      <c r="F17" s="41" t="n">
        <v>3</v>
      </c>
      <c r="G17" s="15" t="n"/>
    </row>
    <row r="18">
      <c r="C18" s="14" t="inlineStr">
        <is>
          <t>The 2018 Classification of Periodontitis: Challenges from Clinical Perspective</t>
        </is>
      </c>
      <c r="D18" s="41" t="inlineStr">
        <is>
          <t>SUPPORTING PAPER</t>
        </is>
      </c>
      <c r="E18" s="26" t="inlineStr">
        <is>
          <t>The paper explains the 2018 clinical classification of periodontitis, which is foundational for defining labels, stages, and severity. It is not an AI or imaging paper, so it cannot be core for your survey.</t>
        </is>
      </c>
      <c r="F18" s="41" t="n">
        <v>4</v>
      </c>
      <c r="G18" s="15" t="n"/>
    </row>
    <row r="19">
      <c r="C19" s="14" t="inlineStr">
        <is>
          <t>[PDF] Automated Detection of Periodontal Bone Loss in Two-Dimensional (2D) Radiographs Using Artificial Intelligence: A Systematic Review | Semantic Scholar</t>
        </is>
      </c>
      <c r="D19" s="41" t="inlineStr">
        <is>
          <t>SUPPORTING PAPER</t>
        </is>
      </c>
      <c r="E19" s="15" t="inlineStr">
        <is>
          <t>This is a systematic review focused on AI-based periodontal bone loss detection from 2D radiographs.</t>
        </is>
      </c>
      <c r="F19" s="41" t="n">
        <v>9</v>
      </c>
      <c r="G19" s="15" t="n"/>
    </row>
    <row r="20">
      <c r="C20" s="14" t="inlineStr">
        <is>
          <t>Comparative Evaluation of Images of Alveolar Bone Loss Using Panoramic Images and Artificial Intelligence</t>
        </is>
      </c>
      <c r="D20" s="41" t="inlineStr">
        <is>
          <t>SUPPORTING PAPER</t>
        </is>
      </c>
      <c r="E20" s="15" t="inlineStr">
        <is>
          <t>Directly addresses alveolar bone loss using panoramic images and AI. Falls squarely under periodontal disease analysis</t>
        </is>
      </c>
      <c r="F20" s="41" t="n">
        <v>22</v>
      </c>
      <c r="G20" s="15" t="n"/>
    </row>
    <row r="21">
      <c r="C21" s="14" t="inlineStr">
        <is>
          <t>Detection of periodontal bone loss and periodontitis from 2D dental radiographs via machine learning and deep learning: systematic review employing APPRAISE-AI and meta-analysis | Dentomaxillofacial Radiology | Oxford Academic</t>
        </is>
      </c>
      <c r="D21" s="41" t="inlineStr">
        <is>
          <t>CORE PAPER</t>
        </is>
      </c>
      <c r="E21" s="15" t="inlineStr">
        <is>
          <t xml:space="preserve">This is a systematic review + meta-analysis, providing high-level evidence on:
AI-based periodontal bone loss detection
Periodontitis diagnosis from 2D dental radiographs (includes OPG relevance)
Uses APPRAISE-AI, which strengthens methodological rigor and bias assessment.                                                                                    </t>
        </is>
      </c>
      <c r="F21" s="41" t="n">
        <v>23</v>
      </c>
      <c r="G21" s="15" t="n"/>
    </row>
    <row r="22">
      <c r="C22" s="14" t="inlineStr">
        <is>
          <t>Development and validation of a polyfit approach for assessing alveolar bone loss using panoramic radiography | BMC Oral Health | Springer Nature Link</t>
        </is>
      </c>
      <c r="D22" s="27" t="inlineStr">
        <is>
          <t>SUPPORTING PAPER</t>
        </is>
      </c>
      <c r="E22" s="15" t="inlineStr">
        <is>
          <t>The paper proposes a polyfit-based method to assess alveolar bone loss from panoramic radiographs.
However:
Method is non–deep learning / traditional curve-fitting
No end-to-end AI pipeline</t>
        </is>
      </c>
      <c r="F22" s="41" t="n">
        <v>24</v>
      </c>
      <c r="G22" s="15" t="n"/>
      <c r="M22" s="28" t="inlineStr">
        <is>
          <t>Paper can be used for Capstone Implentation Background Study</t>
        </is>
      </c>
    </row>
    <row r="23">
      <c r="C23" s="14" t="inlineStr">
        <is>
          <t>Evaluation by dental professionals of an artificial intelligence-based application to measure alveolar bone loss | BMC Oral Health | Springer Nature Link</t>
        </is>
      </c>
      <c r="D23" s="29" t="inlineStr">
        <is>
          <t>SUPPORTING PAPER</t>
        </is>
      </c>
      <c r="E23" s="15" t="inlineStr">
        <is>
          <t>The paper evaluates an AI-based tool for alveolar bone loss measurement, but:
Focuses mainly on dentist evaluation / usability
Limited detail on model architecture, multi-task learning, or automation depth
It supports clinical acceptance and validation, not core algorithmic advances.</t>
        </is>
      </c>
      <c r="F23" s="41" t="n">
        <v>25</v>
      </c>
      <c r="G23" s="15" t="n"/>
      <c r="M23" s="30" t="n"/>
    </row>
    <row r="24">
      <c r="C24" s="14" t="inlineStr">
        <is>
          <t>“Determining the efficacy of a machine learning model for measuring periodontal bone loss” | BMC Oral Health</t>
        </is>
      </c>
      <c r="D24" s="29" t="inlineStr">
        <is>
          <t>SUPPORTING PAPER</t>
        </is>
      </c>
      <c r="E24" s="15" t="inlineStr">
        <is>
          <t>The paper evaluates a machine learning model for periodontal bone loss measurement, which is clearly relevant.
However:
Focus is on efficacy evaluation, not on proposing a novel, end-to-end, multi-task deep learning system
Limited emphasis on severity staging</t>
        </is>
      </c>
      <c r="F24" s="41" t="n">
        <v>26</v>
      </c>
      <c r="G24" s="15" t="n"/>
    </row>
    <row r="25">
      <c r="C25" s="14" t="inlineStr">
        <is>
          <t>[2506.20522] AI-assisted radiographic analysis in detecting alveolar bone-loss severity and patterns</t>
        </is>
      </c>
      <c r="D25" s="32" t="inlineStr">
        <is>
          <t>Background Study Paper</t>
        </is>
      </c>
      <c r="E25" s="15" t="n"/>
      <c r="F25" s="41" t="n">
        <v>27</v>
      </c>
      <c r="G25" s="15" t="n"/>
    </row>
    <row r="26">
      <c r="C26" s="14" t="inlineStr">
        <is>
          <t>Integrating Super-Resolution with Deep Learning for Enhanced Periodontal Bone Loss Segmentation in Panoramic Radiographs</t>
        </is>
      </c>
      <c r="D26" s="40" t="inlineStr">
        <is>
          <t>SUPPORTING PAPER</t>
        </is>
      </c>
      <c r="E26" s="15" t="inlineStr">
        <is>
          <t>Directly targets periodontal bone loss segmentation on panoramic radiographs (OPG).
However:
Focus is on image enhancement (super-resolution) improving segmentation, not a unified end-to-end, multi-task diagnostic system.</t>
        </is>
      </c>
      <c r="F26" s="41" t="n">
        <v>28</v>
      </c>
      <c r="G26" s="15" t="n"/>
    </row>
    <row r="27">
      <c r="C27" s="14" t="inlineStr">
        <is>
          <t>Applications of deep learning in periodontal disease diagnosis and management: a systematic review and critical appraisal</t>
        </is>
      </c>
      <c r="D27" s="32" t="inlineStr">
        <is>
          <t>Background Study Paper</t>
        </is>
      </c>
      <c r="E27" s="15" t="inlineStr">
        <is>
          <t>Even though the paper topic (periodontal disease + deep learning) is highly relevant, journal credibility fails, which is a hard exclusion criterion for your literature review.</t>
        </is>
      </c>
      <c r="F27" s="41" t="n">
        <v>29</v>
      </c>
      <c r="G27" s="15" t="n"/>
    </row>
    <row r="28">
      <c r="C28" s="14" t="inlineStr">
        <is>
          <t>PDCNET: Deep Convolutional Neural Network for Classification of Periodontal Disease Using Dental Radiographs</t>
        </is>
      </c>
      <c r="D28" s="36" t="inlineStr">
        <is>
          <t>SUPPORTING PAPER</t>
        </is>
      </c>
      <c r="E28" s="15" t="inlineStr">
        <is>
          <t>The paper performs periodontal disease classification using dental radiographs, which matches one of your core clinical tasks.</t>
        </is>
      </c>
      <c r="F28" s="41" t="n">
        <v>30</v>
      </c>
      <c r="G28" s="15" t="n"/>
    </row>
    <row r="29">
      <c r="C29" s="14" t="inlineStr">
        <is>
          <t>Panoramic Radiograph-Based Deep Learning Models for Diagnosis and Clinical Decision Support of Furcation Lesions in Primary Molars</t>
        </is>
      </c>
      <c r="D29" s="32" t="inlineStr">
        <is>
          <t>Background Study Paper</t>
        </is>
      </c>
      <c r="E29" s="15" t="inlineStr">
        <is>
          <t>Uses panoramic radiographs (OPG) and deep learning for diagnosing furcation lesions, which are a periodontal bone–related condition.
However:
Focus is narrow (primary molars only)
Does not provide general alveolar bone loss quantification or staging
Limited relevance to a unified, multi-task caries + periodontal framework</t>
        </is>
      </c>
      <c r="F29" s="41" t="n">
        <v>37</v>
      </c>
      <c r="G29" s="15" t="n"/>
    </row>
    <row r="30">
      <c r="C30" s="14" t="inlineStr">
        <is>
          <t>Unsupervised few shot learning architecture for diagnosis of periodontal disease in dental panoramic radiographs | Scientific Reports</t>
        </is>
      </c>
      <c r="D30" s="40" t="inlineStr">
        <is>
          <t>SUPPORTING PAPER</t>
        </is>
      </c>
      <c r="E30" s="15" t="inlineStr">
        <is>
          <t>Method focus: Emphasizes unsupervised / few-shot learning, which is valuable for limited-label scenarios, but:
Typically focuses on classification, not explicit alveolar bone loss quantification
Does not provide CEJ–bone crest measurement, staging, or explainability
Not a unified multi-task pipeline</t>
        </is>
      </c>
      <c r="F30" s="41" t="n">
        <v>38</v>
      </c>
      <c r="G30" s="15" t="n"/>
    </row>
    <row r="31">
      <c r="C31" s="14" t="inlineStr">
        <is>
          <t>Deep Learning for Staging Periodontitis Using Panoramic Radiographs</t>
        </is>
      </c>
      <c r="D31" s="38" t="inlineStr">
        <is>
          <t>CORE PAPER</t>
        </is>
      </c>
      <c r="E31" s="15" t="inlineStr">
        <is>
          <t>Uses panoramic radiographs (OPG)
Performs periodontitis staging 
Directly overlaps with your capstone’s periodontal disease severity assessment objective.
Strong alignment with system outputs (automated staging / severity), even if the exact method differs.</t>
        </is>
      </c>
      <c r="F31" s="41" t="n"/>
      <c r="G31" s="39" t="inlineStr">
        <is>
          <t>pdf unavailable</t>
        </is>
      </c>
    </row>
    <row r="32">
      <c r="C32" s="40" t="n"/>
      <c r="D32" s="40" t="n"/>
      <c r="E32" s="15" t="n"/>
      <c r="F32" s="41" t="n"/>
      <c r="G32" s="15" t="n"/>
    </row>
    <row r="33">
      <c r="C33" s="40" t="n"/>
      <c r="D33" s="40" t="n"/>
      <c r="E33" s="15" t="n"/>
      <c r="F33" s="41" t="n"/>
      <c r="G33" s="15" t="n"/>
    </row>
    <row r="34">
      <c r="C34" s="21" t="n"/>
      <c r="G34" s="15" t="n"/>
    </row>
    <row r="35">
      <c r="A35" s="40" t="n">
        <v>3</v>
      </c>
      <c r="B35" s="42" t="inlineStr">
        <is>
          <t>Multi-task / End-to-End OPG Disease Diagnosis</t>
        </is>
      </c>
      <c r="C35" s="32" t="n"/>
      <c r="D35" s="32" t="n"/>
      <c r="E35" s="24" t="n"/>
      <c r="F35" s="25" t="n"/>
      <c r="G35" s="39" t="n"/>
    </row>
    <row r="36">
      <c r="C36" s="14" t="inlineStr">
        <is>
          <t>Joint detection of dental diseases with panoramic imaging system via multi-task context integration network - ScienceDirect</t>
        </is>
      </c>
      <c r="D36" s="46" t="inlineStr">
        <is>
          <t>CORE PAPER</t>
        </is>
      </c>
      <c r="E36" s="15" t="inlineStr">
        <is>
          <t>Performs joint detection of dental diseases from panoramic radiographs (OPG). Directly aligns with your capstone focus on cavity detection and periodontal disease analysis using a multi-task framework.</t>
        </is>
      </c>
      <c r="F36" s="41" t="n"/>
      <c r="G36" s="39" t="inlineStr">
        <is>
          <t>pdf unavailable</t>
        </is>
      </c>
    </row>
    <row r="37">
      <c r="C37" s="14" t="inlineStr">
        <is>
          <t>DPML: Prior-guided multitask learning for dental object recognition on limited panoramic radiograph dataset - ScienceDirect</t>
        </is>
      </c>
      <c r="D37" s="46" t="inlineStr">
        <is>
          <t>SUPPORTING PAPER</t>
        </is>
      </c>
      <c r="E37" s="15" t="inlineStr">
        <is>
          <t>Uses panoramic radiographs and multi-task learning, which is methodologically relevant.Does NOT perform cavity (caries) detection or periodontal disease analysis, so it cannot be core for your disease-centric capstone.</t>
        </is>
      </c>
      <c r="F37" s="41" t="n"/>
      <c r="G37" s="39" t="inlineStr">
        <is>
          <t>pdf unavailable</t>
        </is>
      </c>
    </row>
    <row r="38">
      <c r="C38" s="14" t="inlineStr">
        <is>
          <t>YOLO-based panoramic dental X-ray image analysis | Neural Computing and Applications | Springer Nature Link</t>
        </is>
      </c>
      <c r="D38" s="41" t="inlineStr">
        <is>
          <t>SUPPORTING PAPER</t>
        </is>
      </c>
      <c r="E38" s="15" t="inlineStr">
        <is>
          <t>Uses panoramic dental X-rays and performs detection + segmentation + enumeration using YOLO.</t>
        </is>
      </c>
      <c r="F38" s="41" t="n">
        <v>5</v>
      </c>
      <c r="G38" s="15" t="n"/>
    </row>
    <row r="39">
      <c r="C39" s="14" t="inlineStr">
        <is>
          <t>Deep Learning-Based Recognition of Periodontitis and Dental Caries in Dental X-ray Images - PMC</t>
        </is>
      </c>
      <c r="D39" s="41" t="inlineStr">
        <is>
          <t>SUPPORTING PAPER</t>
        </is>
      </c>
      <c r="E39" s="15" t="inlineStr">
        <is>
          <t>Addresses both dental caries and periodontitis, which matches your clinical focus.
However: Modality ambiguity (dental X-ray images not clearly limited to panoramic/OPG)</t>
        </is>
      </c>
      <c r="F39" s="41" t="n">
        <v>6</v>
      </c>
      <c r="G39" s="15" t="n"/>
    </row>
    <row r="40">
      <c r="C40" s="14" t="inlineStr">
        <is>
          <t>A self attention based deep learning framework for accurate and efficient dental disease detection in OPG radiographs | Scientific Reports</t>
        </is>
      </c>
      <c r="D40" s="41" t="inlineStr">
        <is>
          <t>SUPPORTING PAPER</t>
        </is>
      </c>
      <c r="E40" s="15" t="inlineStr">
        <is>
          <t>Modality: OPG (panoramic radiographs) 
Method: Uses self-attention, relevant to modern architectures and efficiency.</t>
        </is>
      </c>
      <c r="F40" s="41" t="n">
        <v>44</v>
      </c>
      <c r="G40" s="15" t="n"/>
    </row>
    <row r="41">
      <c r="C41" s="14" t="inlineStr">
        <is>
          <t>Automated Diagnosis of Dental Conditions in Panoramic X-Rays with Ensemble Deep Learning Models</t>
        </is>
      </c>
      <c r="D41" s="41" t="inlineStr">
        <is>
          <t>SUPPORTING PAPER</t>
        </is>
      </c>
      <c r="E41" s="15" t="inlineStr">
        <is>
          <t>Modality: Panoramic X-rays (OPG) 
Task: Automated diagnosis of dental conditions using ensemble deep learning</t>
        </is>
      </c>
      <c r="F41" s="41" t="n">
        <v>10</v>
      </c>
      <c r="G41" s="15" t="n"/>
    </row>
    <row r="42">
      <c r="C42" s="14" t="inlineStr">
        <is>
          <t>Automating Dental Condition Detection on Panoramic Radiographs: Challenges, Pitfalls, and Opportunities</t>
        </is>
      </c>
      <c r="D42" s="29" t="inlineStr">
        <is>
          <t>SUPPORTING PAPER</t>
        </is>
      </c>
      <c r="E42" s="15" t="inlineStr">
        <is>
          <t>he paper discusses panoramic radiograph–based AI broadly, focusing on:
challenges and pitfalls (image quality, bias, annotation issues),
opportunities for improvement in automated dental diagnosis.</t>
        </is>
      </c>
      <c r="F42" s="41" t="n">
        <v>40</v>
      </c>
      <c r="G42" s="15" t="n"/>
    </row>
    <row r="43">
      <c r="C43" s="14" t="inlineStr">
        <is>
          <t>(PDF) Combining public datasets for automated tooth assessment in panoramic radiographs</t>
        </is>
      </c>
      <c r="D43" s="40" t="inlineStr">
        <is>
          <t>SUPPORTING PAPER</t>
        </is>
      </c>
      <c r="E43" s="15" t="inlineStr">
        <is>
          <t>The paper focuses on combining public datasets and automated tooth assessment, which is mainly about data integration, benchmarking, and validation. It does not primarily target caries detection or periodontal disease analysis, but it is important for robust dataset construction and evaluation, which directly supports disease-focused models.</t>
        </is>
      </c>
      <c r="F43" s="41" t="n">
        <v>20</v>
      </c>
      <c r="G43" s="15" t="n"/>
    </row>
    <row r="44">
      <c r="C44" s="40" t="n"/>
      <c r="D44" s="40" t="n"/>
      <c r="E44" s="15" t="n"/>
      <c r="F44" s="41" t="n"/>
      <c r="G44" s="15" t="n"/>
    </row>
    <row r="45">
      <c r="C45" s="21" t="n"/>
      <c r="G45" s="15" t="n"/>
    </row>
    <row r="46">
      <c r="A46" s="40" t="n">
        <v>4</v>
      </c>
      <c r="B46" s="47" t="inlineStr">
        <is>
          <t>Explainable AI for Dental Disease Diagnosis</t>
        </is>
      </c>
      <c r="C46" s="32" t="n"/>
      <c r="D46" s="32" t="n"/>
      <c r="E46" s="24" t="n"/>
      <c r="F46" s="25" t="n"/>
      <c r="G46" s="15" t="n"/>
    </row>
    <row r="47">
      <c r="C47" s="40" t="n"/>
      <c r="D47" s="40" t="n"/>
      <c r="E47" s="15" t="n"/>
      <c r="F47" s="41" t="n"/>
      <c r="G47" s="15" t="n"/>
    </row>
    <row r="48">
      <c r="C48" s="40" t="n"/>
      <c r="D48" s="40" t="n"/>
      <c r="E48" s="15" t="n"/>
      <c r="F48" s="41" t="n"/>
      <c r="G48" s="15" t="n"/>
    </row>
    <row r="49">
      <c r="C49" s="40" t="n"/>
      <c r="D49" s="40" t="n"/>
      <c r="E49" s="15" t="n"/>
      <c r="F49" s="41" t="n"/>
      <c r="G49" s="15" t="n"/>
    </row>
    <row r="50">
      <c r="C50" s="40" t="n"/>
      <c r="D50" s="40" t="n"/>
      <c r="E50" s="15" t="n"/>
      <c r="F50" s="41" t="n"/>
      <c r="G50" s="15" t="n"/>
    </row>
    <row r="51">
      <c r="C51" s="40" t="n"/>
      <c r="D51" s="40" t="n"/>
      <c r="E51" s="15" t="n"/>
      <c r="F51" s="41" t="n"/>
      <c r="G51" s="15" t="n"/>
    </row>
    <row r="52">
      <c r="C52" s="40" t="n"/>
      <c r="D52" s="40" t="n"/>
      <c r="E52" s="15" t="n"/>
      <c r="F52" s="41" t="n"/>
      <c r="G52" s="15" t="n"/>
    </row>
    <row r="53">
      <c r="C53" s="40" t="n"/>
      <c r="D53" s="40" t="n"/>
      <c r="E53" s="15" t="n"/>
      <c r="F53" s="41" t="n"/>
      <c r="G53" s="15" t="n"/>
    </row>
    <row r="54">
      <c r="C54" s="40" t="n"/>
      <c r="D54" s="40" t="n"/>
      <c r="E54" s="15" t="n"/>
      <c r="F54" s="41" t="n"/>
      <c r="G54" s="15" t="n"/>
    </row>
    <row r="55">
      <c r="C55" s="40" t="n"/>
      <c r="D55" s="40" t="n"/>
      <c r="E55" s="15" t="n"/>
      <c r="F55" s="41" t="n"/>
      <c r="G55" s="15" t="n"/>
    </row>
    <row r="56">
      <c r="A56" s="40" t="n"/>
      <c r="C56" s="40" t="n"/>
      <c r="D56" s="40" t="n"/>
      <c r="E56" s="15" t="n"/>
      <c r="F56" s="41" t="n"/>
      <c r="G56" s="15" t="n"/>
    </row>
    <row r="57">
      <c r="C57" s="40" t="n"/>
      <c r="D57" s="40" t="n"/>
      <c r="E57" s="15" t="n"/>
      <c r="F57" s="41" t="n"/>
      <c r="G57" s="15" t="n"/>
    </row>
    <row r="58">
      <c r="C58" s="40" t="n"/>
      <c r="D58" s="40" t="n"/>
      <c r="E58" s="15" t="n"/>
      <c r="F58" s="41" t="n"/>
      <c r="G58" s="15" t="n"/>
    </row>
    <row r="59">
      <c r="C59" s="40" t="n"/>
      <c r="D59" s="40" t="n"/>
      <c r="E59" s="15" t="n"/>
      <c r="F59" s="41" t="n"/>
      <c r="G59" s="15" t="n"/>
    </row>
    <row r="60">
      <c r="C60" s="21" t="n"/>
      <c r="G60" s="15" t="n"/>
    </row>
    <row r="61">
      <c r="A61" s="40" t="n">
        <v>5</v>
      </c>
      <c r="B61" s="48" t="inlineStr">
        <is>
          <t>Datasets, Benchmarks &amp; Clinical Validation (OPG)</t>
        </is>
      </c>
      <c r="C61" s="32" t="n"/>
      <c r="D61" s="32" t="n"/>
      <c r="E61" s="24" t="n"/>
      <c r="F61" s="25" t="n"/>
      <c r="G61" s="15" t="n"/>
    </row>
    <row r="62">
      <c r="C62" s="14" t="inlineStr">
        <is>
          <t>Automated quality evaluation of dental panoramic radiographs using deep learning - PMC</t>
        </is>
      </c>
      <c r="D62" s="40" t="inlineStr">
        <is>
          <t>SUPPORTING PAPER</t>
        </is>
      </c>
      <c r="E62" s="15" t="inlineStr">
        <is>
          <t>Focuses on image quality assessment, not direct caries or periodontal disease detection. Still relevant as poor-quality OPGs strongly affect disease diagnosis performance, so it supports dataset curation and validation aspects.</t>
        </is>
      </c>
      <c r="F62" s="41" t="n">
        <v>19</v>
      </c>
      <c r="G62" s="15" t="n"/>
    </row>
    <row r="63">
      <c r="C63" s="14" t="inlineStr">
        <is>
          <t>Synthetic Orthopantomography Image Generation Using Generative Adversarial Networks for Data Augmentation - ScienceDirect</t>
        </is>
      </c>
      <c r="D63" s="29" t="inlineStr">
        <is>
          <t>SUPPORTING PAPER</t>
        </is>
      </c>
      <c r="E63" s="15" t="inlineStr">
        <is>
          <t>Focuses on GAN-based data augmentation for panoramic radiographs (OPG). Contribution is indirect—improving training data diversity rather than disease diagnosis.</t>
        </is>
      </c>
      <c r="F63" s="41" t="n">
        <v>32</v>
      </c>
      <c r="G63" s="15" t="n"/>
    </row>
    <row r="64">
      <c r="C64" s="14" t="inlineStr">
        <is>
          <t>Panoramic imaging errors in machine learning model development: a systematic review | Dentomaxillofacial Radiology | Oxford Academic</t>
        </is>
      </c>
      <c r="D64" s="29" t="inlineStr">
        <is>
          <t>SUPPORTING PAPER</t>
        </is>
      </c>
      <c r="E64" s="15" t="inlineStr">
        <is>
          <t>Does not directly perform caries detection or periodontal bone loss analysis, but is crucial for:
understanding sources of error,
bias and generalization issues,
limitations impacting disease-detection performance.</t>
        </is>
      </c>
      <c r="F64" s="41" t="n">
        <v>39</v>
      </c>
      <c r="G64" s="15" t="n"/>
    </row>
    <row r="65">
      <c r="C65" s="14" t="inlineStr">
        <is>
          <t>Towards accurate occlusal plane positioning in panoramic radiographs: a deep learning-assisted study | Oral Radiology</t>
        </is>
      </c>
      <c r="D65" s="50" t="inlineStr">
        <is>
          <t>SUPPORTING PAPER</t>
        </is>
      </c>
      <c r="E65" s="15" t="inlineStr">
        <is>
          <t>Direct preprocessing relevance: occlusal plane errors significantly affect diagnostic reliability of caries and periodontal assessment in OPGs.</t>
        </is>
      </c>
      <c r="F65" s="41" t="n"/>
      <c r="G65" s="39" t="inlineStr">
        <is>
          <t>pdf unavailable</t>
        </is>
      </c>
    </row>
    <row r="66">
      <c r="C66" s="14" t="inlineStr">
        <is>
          <t>[2510.20634] Deep Learning in Dental Image Analysis: A Systematic Review of Datasets, Methodologies, and Emerging Challenges</t>
        </is>
      </c>
      <c r="D66" s="32" t="inlineStr">
        <is>
          <t>BackGround Study Paper</t>
        </is>
      </c>
      <c r="E66" s="15" t="n"/>
      <c r="F66" s="41" t="inlineStr">
        <is>
          <t>41`</t>
        </is>
      </c>
      <c r="G66" s="15" t="n"/>
    </row>
    <row r="67">
      <c r="C67" s="21" t="n"/>
      <c r="G67" s="15" t="n"/>
    </row>
    <row r="68">
      <c r="A68" s="40" t="n">
        <v>6</v>
      </c>
      <c r="B68" s="51" t="inlineStr">
        <is>
          <t>Tooth Segmentation &amp; Numbering</t>
        </is>
      </c>
      <c r="C68" s="32" t="n"/>
      <c r="D68" s="32" t="n"/>
      <c r="E68" s="24" t="n"/>
      <c r="F68" s="25" t="n"/>
      <c r="G68" s="15" t="n"/>
    </row>
    <row r="69">
      <c r="C69" s="14" t="inlineStr">
        <is>
          <t>Deep learning for tooth detection and segmentation in panoramic radiographs: a systematic review and meta-analysis | BMC Oral Health | Springer Nature Link</t>
        </is>
      </c>
      <c r="D69" s="40" t="inlineStr">
        <is>
          <t>SUPPORTING PAPER</t>
        </is>
      </c>
      <c r="E69" s="15" t="inlineStr">
        <is>
          <t>Comprehensive systematic review of tooth detection and segmentation on panoramic radiographs. Does not directly address caries detection or periodontal disease, but is valuable for tooth-level disease localization background.</t>
        </is>
      </c>
      <c r="F69" s="41" t="n">
        <v>21</v>
      </c>
      <c r="G69" s="15" t="n"/>
    </row>
    <row r="70">
      <c r="C70" s="14" t="inlineStr">
        <is>
          <t>A Reliable Multi-Stage System for Tooth Instance Segmentation and Numbering in Panoramic Radiographs</t>
        </is>
      </c>
      <c r="D70" s="40" t="inlineStr">
        <is>
          <t>SUPPORTING PAPER</t>
        </is>
      </c>
      <c r="E70" s="15" t="inlineStr">
        <is>
          <t>Focuses on tooth instance segmentation and numbering in OPGs
Does not directly detect caries or periodontal disease
Useful as an enabling step for tooth-level disease analysis</t>
        </is>
      </c>
      <c r="F70" s="41" t="n">
        <v>42</v>
      </c>
      <c r="G70" s="15" t="n"/>
    </row>
    <row r="71">
      <c r="C71" s="14" t="inlineStr">
        <is>
          <t>Automated Tooth Segmentation in X-ray Images using Attention Integrated U-Net++ Model</t>
        </is>
      </c>
      <c r="D71" s="40" t="inlineStr">
        <is>
          <t>SUPPORTING PAPER</t>
        </is>
      </c>
      <c r="E71" s="15" t="inlineStr">
        <is>
          <t>Enabling relevance: Tooth segmentation is a supporting step for tooth-level caries and periodontal analysis in OPG workflows.</t>
        </is>
      </c>
      <c r="F71" s="41" t="n">
        <v>45</v>
      </c>
      <c r="G71" s="15" t="n"/>
    </row>
    <row r="72">
      <c r="C72" s="14" t="inlineStr">
        <is>
          <t>Data Article Orthopantomogram teeth segmentation and numbering dataset</t>
        </is>
      </c>
      <c r="D72" s="40" t="inlineStr">
        <is>
          <t>SUPPORTING PAPER</t>
        </is>
      </c>
      <c r="E72" s="15" t="inlineStr">
        <is>
          <t>Enabling relevance: Tooth-level segmentation and numbering datasets are important enablers for:
tooth-wise caries analysis,
localized periodontal assessment in OPG-based systems.</t>
        </is>
      </c>
      <c r="F72" s="41" t="n">
        <v>46</v>
      </c>
      <c r="G72" s="15" t="n"/>
    </row>
    <row r="73">
      <c r="C73" s="40" t="n"/>
      <c r="D73" s="40" t="n"/>
      <c r="E73" s="15" t="n"/>
      <c r="F73" s="41" t="n"/>
      <c r="G73" s="15" t="n"/>
    </row>
    <row r="74">
      <c r="C74" s="52" t="n"/>
      <c r="D74" s="53" t="n"/>
      <c r="F74" s="53" t="n"/>
      <c r="G74" s="19" t="n"/>
    </row>
    <row r="75">
      <c r="C75" s="52" t="n"/>
      <c r="D75" s="53" t="n"/>
      <c r="F75" s="53" t="n"/>
      <c r="G75" s="19" t="n"/>
    </row>
    <row r="76">
      <c r="C76" s="52" t="n"/>
      <c r="D76" s="53" t="n"/>
      <c r="F76" s="53" t="n"/>
      <c r="G76" s="19" t="n"/>
    </row>
    <row r="77">
      <c r="C77" s="52" t="n"/>
      <c r="D77" s="53" t="n"/>
      <c r="F77" s="53" t="n"/>
      <c r="G77" s="19" t="n"/>
    </row>
    <row r="78">
      <c r="C78" s="52" t="n"/>
      <c r="D78" s="53" t="n"/>
      <c r="F78" s="53" t="n"/>
      <c r="G78" s="19" t="n"/>
    </row>
    <row r="79">
      <c r="C79" s="52" t="n"/>
      <c r="D79" s="53" t="n"/>
      <c r="F79" s="53" t="n"/>
      <c r="G79" s="19" t="n"/>
    </row>
    <row r="80">
      <c r="C80" s="52" t="n"/>
      <c r="D80" s="53" t="n"/>
      <c r="F80" s="53" t="n"/>
      <c r="G80" s="19" t="n"/>
    </row>
    <row r="81">
      <c r="C81" s="52" t="n"/>
      <c r="D81" s="53" t="n"/>
      <c r="F81" s="53" t="n"/>
      <c r="G81" s="19" t="n"/>
    </row>
    <row r="82">
      <c r="C82" s="52" t="n"/>
      <c r="D82" s="53" t="n"/>
      <c r="F82" s="53" t="n"/>
      <c r="G82" s="19" t="n"/>
    </row>
    <row r="83">
      <c r="C83" s="52" t="n"/>
      <c r="D83" s="53" t="n"/>
      <c r="F83" s="53" t="n"/>
      <c r="G83" s="19" t="n"/>
    </row>
    <row r="84">
      <c r="C84" s="52" t="n"/>
      <c r="D84" s="53" t="n"/>
      <c r="F84" s="53" t="n"/>
      <c r="G84" s="19" t="n"/>
    </row>
    <row r="85">
      <c r="C85" s="52" t="n"/>
      <c r="D85" s="53" t="n"/>
      <c r="F85" s="53" t="n"/>
      <c r="G85" s="19" t="n"/>
    </row>
    <row r="86">
      <c r="C86" s="52" t="n"/>
      <c r="D86" s="53" t="n"/>
      <c r="F86" s="53" t="n"/>
      <c r="G86" s="19" t="n"/>
    </row>
    <row r="87">
      <c r="C87" s="52" t="n"/>
      <c r="D87" s="53" t="n"/>
      <c r="F87" s="53" t="n"/>
      <c r="G87" s="19" t="n"/>
    </row>
    <row r="88">
      <c r="C88" s="52" t="n"/>
      <c r="D88" s="53" t="n"/>
      <c r="F88" s="53" t="n"/>
      <c r="G88" s="19" t="n"/>
    </row>
    <row r="89">
      <c r="C89" s="52" t="n"/>
      <c r="D89" s="53" t="n"/>
      <c r="F89" s="53" t="n"/>
      <c r="G89" s="19" t="n"/>
    </row>
    <row r="90">
      <c r="C90" s="52" t="n"/>
      <c r="D90" s="53" t="n"/>
      <c r="F90" s="53" t="n"/>
      <c r="G90" s="19" t="n"/>
    </row>
    <row r="91">
      <c r="C91" s="52" t="n"/>
      <c r="D91" s="53" t="n"/>
      <c r="F91" s="53" t="n"/>
      <c r="G91" s="19" t="n"/>
    </row>
    <row r="92">
      <c r="C92" s="52" t="n"/>
      <c r="D92" s="53" t="n"/>
      <c r="F92" s="53" t="n"/>
      <c r="G92" s="19" t="n"/>
    </row>
    <row r="93">
      <c r="C93" s="52" t="n"/>
      <c r="D93" s="53" t="n"/>
      <c r="F93" s="53" t="n"/>
      <c r="G93" s="19" t="n"/>
    </row>
    <row r="94">
      <c r="C94" s="52" t="n"/>
      <c r="D94" s="53" t="n"/>
      <c r="F94" s="53" t="n"/>
      <c r="G94" s="19" t="n"/>
    </row>
    <row r="95">
      <c r="C95" s="52" t="n"/>
      <c r="D95" s="53" t="n"/>
      <c r="F95" s="53" t="n"/>
      <c r="G95" s="19" t="n"/>
    </row>
    <row r="96">
      <c r="C96" s="52" t="n"/>
      <c r="D96" s="53" t="n"/>
      <c r="F96" s="53" t="n"/>
      <c r="G96" s="19" t="n"/>
    </row>
    <row r="97">
      <c r="C97" s="52" t="n"/>
      <c r="D97" s="53" t="n"/>
      <c r="F97" s="53" t="n"/>
      <c r="G97" s="19" t="n"/>
    </row>
    <row r="98">
      <c r="C98" s="52" t="n"/>
      <c r="D98" s="53" t="n"/>
      <c r="F98" s="53" t="n"/>
      <c r="G98" s="19" t="n"/>
    </row>
    <row r="99">
      <c r="C99" s="52" t="n"/>
      <c r="D99" s="53" t="n"/>
      <c r="F99" s="53" t="n"/>
      <c r="G99" s="19" t="n"/>
    </row>
    <row r="100">
      <c r="C100" s="52" t="n"/>
      <c r="D100" s="53" t="n"/>
      <c r="F100" s="53" t="n"/>
      <c r="G100" s="19" t="n"/>
    </row>
    <row r="101">
      <c r="C101" s="52" t="n"/>
      <c r="D101" s="53" t="n"/>
      <c r="F101" s="53" t="n"/>
      <c r="G101" s="19" t="n"/>
    </row>
    <row r="102">
      <c r="C102" s="52" t="n"/>
      <c r="D102" s="53" t="n"/>
      <c r="F102" s="53" t="n"/>
      <c r="G102" s="19" t="n"/>
    </row>
    <row r="103">
      <c r="C103" s="52" t="n"/>
      <c r="D103" s="53" t="n"/>
      <c r="F103" s="53" t="n"/>
      <c r="G103" s="19" t="n"/>
    </row>
    <row r="104">
      <c r="C104" s="52" t="n"/>
      <c r="D104" s="53" t="n"/>
      <c r="F104" s="53" t="n"/>
      <c r="G104" s="19" t="n"/>
    </row>
    <row r="105">
      <c r="C105" s="52" t="n"/>
      <c r="D105" s="53" t="n"/>
      <c r="F105" s="53" t="n"/>
      <c r="G105" s="19" t="n"/>
    </row>
    <row r="106">
      <c r="C106" s="52" t="n"/>
      <c r="D106" s="53" t="n"/>
      <c r="F106" s="53" t="n"/>
      <c r="G106" s="19" t="n"/>
    </row>
    <row r="107">
      <c r="C107" s="52" t="n"/>
      <c r="D107" s="53" t="n"/>
      <c r="F107" s="53" t="n"/>
      <c r="G107" s="19" t="n"/>
    </row>
    <row r="108">
      <c r="C108" s="52" t="n"/>
      <c r="D108" s="53" t="n"/>
      <c r="F108" s="53" t="n"/>
      <c r="G108" s="19" t="n"/>
    </row>
    <row r="109">
      <c r="C109" s="52" t="n"/>
      <c r="D109" s="53" t="n"/>
      <c r="F109" s="53" t="n"/>
      <c r="G109" s="19" t="n"/>
    </row>
    <row r="110">
      <c r="C110" s="52" t="n"/>
      <c r="D110" s="53" t="n"/>
      <c r="F110" s="53" t="n"/>
      <c r="G110" s="19" t="n"/>
    </row>
    <row r="111">
      <c r="C111" s="52" t="n"/>
      <c r="D111" s="53" t="n"/>
      <c r="F111" s="53" t="n"/>
      <c r="G111" s="19" t="n"/>
    </row>
    <row r="112">
      <c r="C112" s="52" t="n"/>
      <c r="D112" s="53" t="n"/>
      <c r="F112" s="53" t="n"/>
      <c r="G112" s="19" t="n"/>
    </row>
    <row r="113">
      <c r="C113" s="52" t="n"/>
      <c r="D113" s="53" t="n"/>
      <c r="F113" s="53" t="n"/>
      <c r="G113" s="19" t="n"/>
    </row>
    <row r="114">
      <c r="C114" s="52" t="n"/>
      <c r="D114" s="53" t="n"/>
      <c r="F114" s="53" t="n"/>
      <c r="G114" s="19" t="n"/>
    </row>
    <row r="115">
      <c r="C115" s="52" t="n"/>
      <c r="D115" s="53" t="n"/>
      <c r="F115" s="53" t="n"/>
      <c r="G115" s="19" t="n"/>
    </row>
    <row r="116">
      <c r="C116" s="52" t="n"/>
      <c r="D116" s="53" t="n"/>
      <c r="F116" s="53" t="n"/>
      <c r="G116" s="19" t="n"/>
    </row>
    <row r="117">
      <c r="C117" s="52" t="n"/>
      <c r="D117" s="53" t="n"/>
      <c r="F117" s="53" t="n"/>
      <c r="G117" s="19" t="n"/>
    </row>
    <row r="118">
      <c r="C118" s="52" t="n"/>
      <c r="D118" s="53" t="n"/>
      <c r="F118" s="53" t="n"/>
      <c r="G118" s="19" t="n"/>
    </row>
    <row r="119">
      <c r="C119" s="52" t="n"/>
      <c r="D119" s="53" t="n"/>
      <c r="F119" s="53" t="n"/>
      <c r="G119" s="19" t="n"/>
    </row>
    <row r="120">
      <c r="C120" s="52" t="n"/>
      <c r="D120" s="53" t="n"/>
      <c r="F120" s="53" t="n"/>
      <c r="G120" s="19" t="n"/>
    </row>
    <row r="121">
      <c r="C121" s="52" t="n"/>
      <c r="D121" s="53" t="n"/>
      <c r="F121" s="53" t="n"/>
      <c r="G121" s="19" t="n"/>
    </row>
    <row r="122">
      <c r="C122" s="52" t="n"/>
      <c r="D122" s="53" t="n"/>
      <c r="F122" s="53" t="n"/>
      <c r="G122" s="19" t="n"/>
    </row>
    <row r="123">
      <c r="C123" s="52" t="n"/>
      <c r="D123" s="53" t="n"/>
      <c r="F123" s="53" t="n"/>
      <c r="G123" s="19" t="n"/>
    </row>
    <row r="124">
      <c r="C124" s="52" t="n"/>
      <c r="D124" s="53" t="n"/>
      <c r="F124" s="53" t="n"/>
      <c r="G124" s="19" t="n"/>
    </row>
    <row r="125">
      <c r="C125" s="52" t="n"/>
      <c r="D125" s="53" t="n"/>
      <c r="F125" s="53" t="n"/>
      <c r="G125" s="19" t="n"/>
    </row>
    <row r="126">
      <c r="C126" s="52" t="n"/>
      <c r="D126" s="53" t="n"/>
      <c r="F126" s="53" t="n"/>
      <c r="G126" s="19" t="n"/>
    </row>
    <row r="127">
      <c r="C127" s="52" t="n"/>
      <c r="D127" s="53" t="n"/>
      <c r="F127" s="53" t="n"/>
      <c r="G127" s="19" t="n"/>
    </row>
    <row r="128">
      <c r="C128" s="52" t="n"/>
      <c r="D128" s="53" t="n"/>
      <c r="F128" s="53" t="n"/>
      <c r="G128" s="19" t="n"/>
    </row>
    <row r="129">
      <c r="C129" s="52" t="n"/>
      <c r="D129" s="53" t="n"/>
      <c r="F129" s="53" t="n"/>
      <c r="G129" s="19" t="n"/>
    </row>
    <row r="130">
      <c r="C130" s="52" t="n"/>
      <c r="D130" s="53" t="n"/>
      <c r="F130" s="53" t="n"/>
      <c r="G130" s="19" t="n"/>
    </row>
    <row r="131">
      <c r="C131" s="52" t="n"/>
      <c r="D131" s="53" t="n"/>
      <c r="F131" s="53" t="n"/>
      <c r="G131" s="19" t="n"/>
    </row>
    <row r="132">
      <c r="C132" s="52" t="n"/>
      <c r="D132" s="53" t="n"/>
      <c r="F132" s="53" t="n"/>
      <c r="G132" s="19" t="n"/>
    </row>
    <row r="133">
      <c r="C133" s="52" t="n"/>
      <c r="D133" s="53" t="n"/>
      <c r="F133" s="53" t="n"/>
      <c r="G133" s="19" t="n"/>
    </row>
    <row r="134">
      <c r="C134" s="52" t="n"/>
      <c r="D134" s="53" t="n"/>
      <c r="F134" s="53" t="n"/>
      <c r="G134" s="19" t="n"/>
    </row>
    <row r="135">
      <c r="C135" s="52" t="n"/>
      <c r="D135" s="53" t="n"/>
      <c r="F135" s="53" t="n"/>
      <c r="G135" s="19" t="n"/>
    </row>
    <row r="136">
      <c r="C136" s="52" t="n"/>
      <c r="D136" s="53" t="n"/>
      <c r="F136" s="53" t="n"/>
      <c r="G136" s="19" t="n"/>
    </row>
    <row r="137">
      <c r="C137" s="52" t="n"/>
      <c r="D137" s="53" t="n"/>
      <c r="F137" s="53" t="n"/>
      <c r="G137" s="19" t="n"/>
    </row>
    <row r="138">
      <c r="C138" s="52" t="n"/>
      <c r="D138" s="53" t="n"/>
      <c r="F138" s="53" t="n"/>
      <c r="G138" s="19" t="n"/>
    </row>
    <row r="139">
      <c r="C139" s="52" t="n"/>
      <c r="D139" s="53" t="n"/>
      <c r="F139" s="53" t="n"/>
      <c r="G139" s="19" t="n"/>
    </row>
    <row r="140">
      <c r="C140" s="52" t="n"/>
      <c r="D140" s="53" t="n"/>
      <c r="F140" s="53" t="n"/>
      <c r="G140" s="19" t="n"/>
    </row>
    <row r="141">
      <c r="C141" s="52" t="n"/>
      <c r="D141" s="53" t="n"/>
      <c r="F141" s="53" t="n"/>
      <c r="G141" s="19" t="n"/>
    </row>
    <row r="142">
      <c r="C142" s="52" t="n"/>
      <c r="D142" s="53" t="n"/>
      <c r="F142" s="53" t="n"/>
      <c r="G142" s="19" t="n"/>
    </row>
    <row r="143">
      <c r="C143" s="52" t="n"/>
      <c r="D143" s="53" t="n"/>
      <c r="F143" s="53" t="n"/>
      <c r="G143" s="19" t="n"/>
    </row>
    <row r="144">
      <c r="C144" s="52" t="n"/>
      <c r="D144" s="53" t="n"/>
      <c r="F144" s="53" t="n"/>
      <c r="G144" s="19" t="n"/>
    </row>
    <row r="145">
      <c r="C145" s="52" t="n"/>
      <c r="D145" s="53" t="n"/>
      <c r="F145" s="53" t="n"/>
      <c r="G145" s="19" t="n"/>
    </row>
    <row r="146">
      <c r="C146" s="52" t="n"/>
      <c r="D146" s="53" t="n"/>
      <c r="F146" s="53" t="n"/>
      <c r="G146" s="19" t="n"/>
    </row>
    <row r="147">
      <c r="C147" s="52" t="n"/>
      <c r="D147" s="53" t="n"/>
      <c r="F147" s="53" t="n"/>
      <c r="G147" s="19" t="n"/>
    </row>
    <row r="148">
      <c r="C148" s="52" t="n"/>
      <c r="D148" s="53" t="n"/>
      <c r="F148" s="53" t="n"/>
      <c r="G148" s="19" t="n"/>
    </row>
    <row r="149">
      <c r="C149" s="52" t="n"/>
      <c r="D149" s="53" t="n"/>
      <c r="F149" s="53" t="n"/>
      <c r="G149" s="19" t="n"/>
    </row>
    <row r="150">
      <c r="C150" s="52" t="n"/>
      <c r="D150" s="53" t="n"/>
      <c r="F150" s="53" t="n"/>
      <c r="G150" s="19" t="n"/>
    </row>
    <row r="151">
      <c r="C151" s="52" t="n"/>
      <c r="D151" s="53" t="n"/>
      <c r="F151" s="53" t="n"/>
      <c r="G151" s="19" t="n"/>
    </row>
    <row r="152">
      <c r="C152" s="52" t="n"/>
      <c r="D152" s="53" t="n"/>
      <c r="F152" s="53" t="n"/>
      <c r="G152" s="19" t="n"/>
    </row>
    <row r="153">
      <c r="C153" s="52" t="n"/>
      <c r="D153" s="53" t="n"/>
      <c r="F153" s="53" t="n"/>
      <c r="G153" s="19" t="n"/>
    </row>
    <row r="154">
      <c r="C154" s="52" t="n"/>
      <c r="D154" s="53" t="n"/>
      <c r="F154" s="53" t="n"/>
      <c r="G154" s="19" t="n"/>
    </row>
    <row r="155">
      <c r="C155" s="52" t="n"/>
      <c r="D155" s="53" t="n"/>
      <c r="F155" s="53" t="n"/>
      <c r="G155" s="19" t="n"/>
    </row>
    <row r="156">
      <c r="C156" s="52" t="n"/>
      <c r="D156" s="53" t="n"/>
      <c r="F156" s="53" t="n"/>
      <c r="G156" s="19" t="n"/>
    </row>
    <row r="157">
      <c r="C157" s="52" t="n"/>
      <c r="D157" s="53" t="n"/>
      <c r="F157" s="53" t="n"/>
      <c r="G157" s="19" t="n"/>
    </row>
    <row r="158">
      <c r="C158" s="52" t="n"/>
      <c r="D158" s="53" t="n"/>
      <c r="F158" s="53" t="n"/>
      <c r="G158" s="19" t="n"/>
    </row>
    <row r="159">
      <c r="C159" s="52" t="n"/>
      <c r="D159" s="53" t="n"/>
      <c r="F159" s="53" t="n"/>
      <c r="G159" s="19" t="n"/>
    </row>
    <row r="160">
      <c r="C160" s="52" t="n"/>
      <c r="D160" s="53" t="n"/>
      <c r="F160" s="53" t="n"/>
      <c r="G160" s="19" t="n"/>
    </row>
    <row r="161">
      <c r="C161" s="52" t="n"/>
      <c r="D161" s="53" t="n"/>
      <c r="F161" s="53" t="n"/>
      <c r="G161" s="19" t="n"/>
    </row>
    <row r="162">
      <c r="C162" s="52" t="n"/>
      <c r="D162" s="53" t="n"/>
      <c r="F162" s="53" t="n"/>
      <c r="G162" s="19" t="n"/>
    </row>
    <row r="163">
      <c r="C163" s="52" t="n"/>
      <c r="D163" s="53" t="n"/>
      <c r="F163" s="53" t="n"/>
      <c r="G163" s="19" t="n"/>
    </row>
    <row r="164">
      <c r="C164" s="52" t="n"/>
      <c r="D164" s="53" t="n"/>
      <c r="F164" s="53" t="n"/>
      <c r="G164" s="19" t="n"/>
    </row>
    <row r="165">
      <c r="C165" s="52" t="n"/>
      <c r="D165" s="53" t="n"/>
      <c r="F165" s="53" t="n"/>
      <c r="G165" s="19" t="n"/>
    </row>
    <row r="166">
      <c r="C166" s="52" t="n"/>
      <c r="D166" s="53" t="n"/>
      <c r="F166" s="53" t="n"/>
      <c r="G166" s="19" t="n"/>
    </row>
    <row r="167">
      <c r="C167" s="52" t="n"/>
      <c r="D167" s="53" t="n"/>
      <c r="F167" s="53" t="n"/>
      <c r="G167" s="19" t="n"/>
    </row>
    <row r="168">
      <c r="C168" s="52" t="n"/>
      <c r="D168" s="53" t="n"/>
      <c r="F168" s="53" t="n"/>
      <c r="G168" s="19" t="n"/>
    </row>
    <row r="169">
      <c r="C169" s="52" t="n"/>
      <c r="D169" s="53" t="n"/>
      <c r="F169" s="53" t="n"/>
      <c r="G169" s="19" t="n"/>
    </row>
    <row r="170">
      <c r="C170" s="52" t="n"/>
      <c r="D170" s="53" t="n"/>
      <c r="F170" s="53" t="n"/>
      <c r="G170" s="19" t="n"/>
    </row>
    <row r="171">
      <c r="C171" s="52" t="n"/>
      <c r="D171" s="53" t="n"/>
      <c r="F171" s="53" t="n"/>
      <c r="G171" s="19" t="n"/>
    </row>
    <row r="172">
      <c r="C172" s="52" t="n"/>
      <c r="D172" s="53" t="n"/>
      <c r="F172" s="53" t="n"/>
      <c r="G172" s="19" t="n"/>
    </row>
    <row r="173">
      <c r="C173" s="52" t="n"/>
      <c r="D173" s="53" t="n"/>
      <c r="F173" s="53" t="n"/>
      <c r="G173" s="19" t="n"/>
    </row>
    <row r="174">
      <c r="C174" s="52" t="n"/>
      <c r="D174" s="53" t="n"/>
      <c r="F174" s="53" t="n"/>
      <c r="G174" s="19" t="n"/>
    </row>
    <row r="175">
      <c r="C175" s="52" t="n"/>
      <c r="D175" s="53" t="n"/>
      <c r="F175" s="53" t="n"/>
      <c r="G175" s="19" t="n"/>
    </row>
    <row r="176">
      <c r="C176" s="52" t="n"/>
      <c r="D176" s="53" t="n"/>
      <c r="F176" s="53" t="n"/>
      <c r="G176" s="19" t="n"/>
    </row>
    <row r="177">
      <c r="C177" s="52" t="n"/>
      <c r="D177" s="53" t="n"/>
      <c r="F177" s="53" t="n"/>
      <c r="G177" s="19" t="n"/>
    </row>
    <row r="178">
      <c r="C178" s="52" t="n"/>
      <c r="D178" s="53" t="n"/>
      <c r="F178" s="53" t="n"/>
      <c r="G178" s="19" t="n"/>
    </row>
    <row r="179">
      <c r="C179" s="52" t="n"/>
      <c r="D179" s="53" t="n"/>
      <c r="F179" s="53" t="n"/>
      <c r="G179" s="19" t="n"/>
    </row>
    <row r="180">
      <c r="C180" s="52" t="n"/>
      <c r="D180" s="53" t="n"/>
      <c r="F180" s="53" t="n"/>
      <c r="G180" s="19" t="n"/>
    </row>
    <row r="181">
      <c r="C181" s="52" t="n"/>
      <c r="D181" s="53" t="n"/>
      <c r="F181" s="53" t="n"/>
      <c r="G181" s="19" t="n"/>
    </row>
    <row r="182">
      <c r="C182" s="52" t="n"/>
      <c r="D182" s="53" t="n"/>
      <c r="F182" s="53" t="n"/>
      <c r="G182" s="19" t="n"/>
    </row>
    <row r="183">
      <c r="C183" s="52" t="n"/>
      <c r="D183" s="53" t="n"/>
      <c r="F183" s="53" t="n"/>
      <c r="G183" s="19" t="n"/>
    </row>
    <row r="184">
      <c r="C184" s="52" t="n"/>
      <c r="D184" s="53" t="n"/>
      <c r="F184" s="53" t="n"/>
      <c r="G184" s="19" t="n"/>
    </row>
    <row r="185">
      <c r="C185" s="52" t="n"/>
      <c r="D185" s="53" t="n"/>
      <c r="F185" s="53" t="n"/>
      <c r="G185" s="19" t="n"/>
    </row>
    <row r="186">
      <c r="C186" s="52" t="n"/>
      <c r="D186" s="53" t="n"/>
      <c r="F186" s="53" t="n"/>
      <c r="G186" s="19" t="n"/>
    </row>
    <row r="187">
      <c r="C187" s="52" t="n"/>
      <c r="D187" s="53" t="n"/>
      <c r="F187" s="53" t="n"/>
      <c r="G187" s="19" t="n"/>
    </row>
    <row r="188">
      <c r="C188" s="52" t="n"/>
      <c r="D188" s="53" t="n"/>
      <c r="F188" s="53" t="n"/>
      <c r="G188" s="19" t="n"/>
    </row>
    <row r="189">
      <c r="C189" s="52" t="n"/>
      <c r="D189" s="53" t="n"/>
      <c r="F189" s="53" t="n"/>
      <c r="G189" s="19" t="n"/>
    </row>
    <row r="190">
      <c r="C190" s="52" t="n"/>
      <c r="D190" s="53" t="n"/>
      <c r="F190" s="53" t="n"/>
      <c r="G190" s="19" t="n"/>
    </row>
    <row r="191">
      <c r="C191" s="52" t="n"/>
      <c r="D191" s="53" t="n"/>
      <c r="F191" s="53" t="n"/>
      <c r="G191" s="19" t="n"/>
    </row>
    <row r="192">
      <c r="C192" s="52" t="n"/>
      <c r="D192" s="53" t="n"/>
      <c r="F192" s="53" t="n"/>
      <c r="G192" s="19" t="n"/>
    </row>
    <row r="193">
      <c r="C193" s="52" t="n"/>
      <c r="D193" s="53" t="n"/>
      <c r="F193" s="53" t="n"/>
      <c r="G193" s="19" t="n"/>
    </row>
    <row r="194">
      <c r="C194" s="52" t="n"/>
      <c r="D194" s="53" t="n"/>
      <c r="F194" s="53" t="n"/>
      <c r="G194" s="19" t="n"/>
    </row>
    <row r="195">
      <c r="C195" s="52" t="n"/>
      <c r="D195" s="53" t="n"/>
      <c r="F195" s="53" t="n"/>
      <c r="G195" s="19" t="n"/>
    </row>
    <row r="196">
      <c r="C196" s="52" t="n"/>
      <c r="D196" s="53" t="n"/>
      <c r="F196" s="53" t="n"/>
      <c r="G196" s="19" t="n"/>
    </row>
    <row r="197">
      <c r="C197" s="52" t="n"/>
      <c r="D197" s="53" t="n"/>
      <c r="F197" s="53" t="n"/>
      <c r="G197" s="19" t="n"/>
    </row>
    <row r="198">
      <c r="C198" s="52" t="n"/>
      <c r="D198" s="53" t="n"/>
      <c r="F198" s="53" t="n"/>
      <c r="G198" s="19" t="n"/>
    </row>
    <row r="199">
      <c r="C199" s="52" t="n"/>
      <c r="D199" s="53" t="n"/>
      <c r="F199" s="53" t="n"/>
      <c r="G199" s="19" t="n"/>
    </row>
    <row r="200">
      <c r="C200" s="52" t="n"/>
      <c r="D200" s="53" t="n"/>
      <c r="F200" s="53" t="n"/>
      <c r="G200" s="19" t="n"/>
    </row>
    <row r="201">
      <c r="C201" s="52" t="n"/>
      <c r="D201" s="53" t="n"/>
      <c r="F201" s="53" t="n"/>
      <c r="G201" s="19" t="n"/>
    </row>
    <row r="202">
      <c r="C202" s="52" t="n"/>
      <c r="D202" s="53" t="n"/>
      <c r="F202" s="53" t="n"/>
      <c r="G202" s="19" t="n"/>
    </row>
    <row r="203">
      <c r="C203" s="52" t="n"/>
      <c r="D203" s="53" t="n"/>
      <c r="F203" s="53" t="n"/>
      <c r="G203" s="19" t="n"/>
    </row>
    <row r="204">
      <c r="C204" s="52" t="n"/>
      <c r="D204" s="53" t="n"/>
      <c r="F204" s="53" t="n"/>
      <c r="G204" s="19" t="n"/>
    </row>
    <row r="205">
      <c r="C205" s="52" t="n"/>
      <c r="D205" s="53" t="n"/>
      <c r="F205" s="53" t="n"/>
      <c r="G205" s="19" t="n"/>
    </row>
    <row r="206">
      <c r="C206" s="52" t="n"/>
      <c r="D206" s="53" t="n"/>
      <c r="F206" s="53" t="n"/>
      <c r="G206" s="19" t="n"/>
    </row>
    <row r="207">
      <c r="C207" s="52" t="n"/>
      <c r="D207" s="53" t="n"/>
      <c r="F207" s="53" t="n"/>
      <c r="G207" s="19" t="n"/>
    </row>
    <row r="208">
      <c r="C208" s="52" t="n"/>
      <c r="D208" s="53" t="n"/>
      <c r="F208" s="53" t="n"/>
      <c r="G208" s="19" t="n"/>
    </row>
    <row r="209">
      <c r="C209" s="52" t="n"/>
      <c r="D209" s="53" t="n"/>
      <c r="F209" s="53" t="n"/>
      <c r="G209" s="19" t="n"/>
    </row>
    <row r="210">
      <c r="C210" s="52" t="n"/>
      <c r="D210" s="53" t="n"/>
      <c r="F210" s="53" t="n"/>
      <c r="G210" s="19" t="n"/>
    </row>
    <row r="211">
      <c r="C211" s="52" t="n"/>
      <c r="D211" s="53" t="n"/>
      <c r="F211" s="53" t="n"/>
      <c r="G211" s="19" t="n"/>
    </row>
    <row r="212">
      <c r="C212" s="52" t="n"/>
      <c r="D212" s="53" t="n"/>
      <c r="F212" s="53" t="n"/>
      <c r="G212" s="19" t="n"/>
    </row>
    <row r="213">
      <c r="C213" s="52" t="n"/>
      <c r="D213" s="53" t="n"/>
      <c r="F213" s="53" t="n"/>
      <c r="G213" s="19" t="n"/>
    </row>
    <row r="214">
      <c r="C214" s="52" t="n"/>
      <c r="D214" s="53" t="n"/>
      <c r="F214" s="53" t="n"/>
      <c r="G214" s="19" t="n"/>
    </row>
    <row r="215">
      <c r="C215" s="52" t="n"/>
      <c r="D215" s="53" t="n"/>
      <c r="F215" s="53" t="n"/>
      <c r="G215" s="19" t="n"/>
    </row>
    <row r="216">
      <c r="C216" s="52" t="n"/>
      <c r="D216" s="53" t="n"/>
      <c r="F216" s="53" t="n"/>
      <c r="G216" s="19" t="n"/>
    </row>
    <row r="217">
      <c r="C217" s="52" t="n"/>
      <c r="D217" s="53" t="n"/>
      <c r="F217" s="53" t="n"/>
      <c r="G217" s="19" t="n"/>
    </row>
    <row r="218">
      <c r="C218" s="52" t="n"/>
      <c r="D218" s="53" t="n"/>
      <c r="F218" s="53" t="n"/>
      <c r="G218" s="19" t="n"/>
    </row>
    <row r="219">
      <c r="C219" s="52" t="n"/>
      <c r="D219" s="53" t="n"/>
      <c r="F219" s="53" t="n"/>
      <c r="G219" s="19" t="n"/>
    </row>
    <row r="220">
      <c r="C220" s="52" t="n"/>
      <c r="D220" s="53" t="n"/>
      <c r="F220" s="53" t="n"/>
      <c r="G220" s="19" t="n"/>
    </row>
    <row r="221">
      <c r="C221" s="52" t="n"/>
      <c r="D221" s="53" t="n"/>
      <c r="F221" s="53" t="n"/>
      <c r="G221" s="19" t="n"/>
    </row>
    <row r="222">
      <c r="C222" s="52" t="n"/>
      <c r="D222" s="53" t="n"/>
      <c r="F222" s="53" t="n"/>
      <c r="G222" s="19" t="n"/>
    </row>
    <row r="223">
      <c r="C223" s="52" t="n"/>
      <c r="D223" s="53" t="n"/>
      <c r="F223" s="53" t="n"/>
      <c r="G223" s="19" t="n"/>
    </row>
    <row r="224">
      <c r="C224" s="52" t="n"/>
      <c r="D224" s="53" t="n"/>
      <c r="F224" s="53" t="n"/>
      <c r="G224" s="19" t="n"/>
    </row>
    <row r="225">
      <c r="C225" s="52" t="n"/>
      <c r="D225" s="53" t="n"/>
      <c r="F225" s="53" t="n"/>
      <c r="G225" s="19" t="n"/>
    </row>
    <row r="226">
      <c r="C226" s="52" t="n"/>
      <c r="D226" s="53" t="n"/>
      <c r="F226" s="53" t="n"/>
      <c r="G226" s="19" t="n"/>
    </row>
    <row r="227">
      <c r="C227" s="52" t="n"/>
      <c r="D227" s="53" t="n"/>
      <c r="F227" s="53" t="n"/>
      <c r="G227" s="19" t="n"/>
    </row>
    <row r="228">
      <c r="C228" s="52" t="n"/>
      <c r="D228" s="53" t="n"/>
      <c r="F228" s="53" t="n"/>
      <c r="G228" s="19" t="n"/>
    </row>
    <row r="229">
      <c r="C229" s="52" t="n"/>
      <c r="D229" s="53" t="n"/>
      <c r="F229" s="53" t="n"/>
      <c r="G229" s="19" t="n"/>
    </row>
    <row r="230">
      <c r="C230" s="52" t="n"/>
      <c r="D230" s="53" t="n"/>
      <c r="F230" s="53" t="n"/>
      <c r="G230" s="19" t="n"/>
    </row>
    <row r="231">
      <c r="C231" s="52" t="n"/>
      <c r="D231" s="53" t="n"/>
      <c r="F231" s="53" t="n"/>
      <c r="G231" s="19" t="n"/>
    </row>
    <row r="232">
      <c r="C232" s="52" t="n"/>
      <c r="D232" s="53" t="n"/>
      <c r="F232" s="53" t="n"/>
      <c r="G232" s="19" t="n"/>
    </row>
    <row r="233">
      <c r="C233" s="52" t="n"/>
      <c r="D233" s="53" t="n"/>
      <c r="F233" s="53" t="n"/>
      <c r="G233" s="19" t="n"/>
    </row>
    <row r="234">
      <c r="C234" s="52" t="n"/>
      <c r="D234" s="53" t="n"/>
      <c r="F234" s="53" t="n"/>
      <c r="G234" s="19" t="n"/>
    </row>
    <row r="235">
      <c r="C235" s="52" t="n"/>
      <c r="D235" s="53" t="n"/>
      <c r="F235" s="53" t="n"/>
      <c r="G235" s="19" t="n"/>
    </row>
    <row r="236">
      <c r="C236" s="52" t="n"/>
      <c r="D236" s="53" t="n"/>
      <c r="F236" s="53" t="n"/>
      <c r="G236" s="19" t="n"/>
    </row>
    <row r="237">
      <c r="C237" s="52" t="n"/>
      <c r="D237" s="53" t="n"/>
      <c r="F237" s="53" t="n"/>
      <c r="G237" s="19" t="n"/>
    </row>
    <row r="238">
      <c r="C238" s="52" t="n"/>
      <c r="D238" s="53" t="n"/>
      <c r="F238" s="53" t="n"/>
      <c r="G238" s="19" t="n"/>
    </row>
    <row r="239">
      <c r="C239" s="52" t="n"/>
      <c r="D239" s="53" t="n"/>
      <c r="F239" s="53" t="n"/>
      <c r="G239" s="19" t="n"/>
    </row>
    <row r="240">
      <c r="C240" s="52" t="n"/>
      <c r="D240" s="53" t="n"/>
      <c r="F240" s="53" t="n"/>
      <c r="G240" s="19" t="n"/>
    </row>
    <row r="241">
      <c r="C241" s="52" t="n"/>
      <c r="D241" s="53" t="n"/>
      <c r="F241" s="53" t="n"/>
      <c r="G241" s="19" t="n"/>
    </row>
    <row r="242">
      <c r="C242" s="52" t="n"/>
      <c r="D242" s="53" t="n"/>
      <c r="F242" s="53" t="n"/>
      <c r="G242" s="19" t="n"/>
    </row>
    <row r="243">
      <c r="C243" s="52" t="n"/>
      <c r="D243" s="53" t="n"/>
      <c r="F243" s="53" t="n"/>
      <c r="G243" s="19" t="n"/>
    </row>
    <row r="244">
      <c r="C244" s="52" t="n"/>
      <c r="D244" s="53" t="n"/>
      <c r="F244" s="53" t="n"/>
      <c r="G244" s="19" t="n"/>
    </row>
    <row r="245">
      <c r="C245" s="52" t="n"/>
      <c r="D245" s="53" t="n"/>
      <c r="F245" s="53" t="n"/>
      <c r="G245" s="19" t="n"/>
    </row>
    <row r="246">
      <c r="C246" s="52" t="n"/>
      <c r="D246" s="53" t="n"/>
      <c r="F246" s="53" t="n"/>
      <c r="G246" s="19" t="n"/>
    </row>
    <row r="247">
      <c r="C247" s="52" t="n"/>
      <c r="D247" s="53" t="n"/>
      <c r="F247" s="53" t="n"/>
      <c r="G247" s="19" t="n"/>
    </row>
    <row r="248">
      <c r="C248" s="52" t="n"/>
      <c r="D248" s="53" t="n"/>
      <c r="F248" s="53" t="n"/>
      <c r="G248" s="19" t="n"/>
    </row>
    <row r="249">
      <c r="C249" s="52" t="n"/>
      <c r="D249" s="53" t="n"/>
      <c r="F249" s="53" t="n"/>
      <c r="G249" s="19" t="n"/>
    </row>
    <row r="250">
      <c r="C250" s="52" t="n"/>
      <c r="D250" s="53" t="n"/>
      <c r="F250" s="53" t="n"/>
      <c r="G250" s="19" t="n"/>
    </row>
    <row r="251">
      <c r="C251" s="52" t="n"/>
      <c r="D251" s="53" t="n"/>
      <c r="F251" s="53" t="n"/>
      <c r="G251" s="19" t="n"/>
    </row>
    <row r="252">
      <c r="C252" s="52" t="n"/>
      <c r="D252" s="53" t="n"/>
      <c r="F252" s="53" t="n"/>
      <c r="G252" s="19" t="n"/>
    </row>
    <row r="253">
      <c r="C253" s="52" t="n"/>
      <c r="D253" s="53" t="n"/>
      <c r="F253" s="53" t="n"/>
      <c r="G253" s="19" t="n"/>
    </row>
    <row r="254">
      <c r="C254" s="52" t="n"/>
      <c r="D254" s="53" t="n"/>
      <c r="F254" s="53" t="n"/>
      <c r="G254" s="19" t="n"/>
    </row>
    <row r="255">
      <c r="C255" s="52" t="n"/>
      <c r="D255" s="53" t="n"/>
      <c r="F255" s="53" t="n"/>
      <c r="G255" s="19" t="n"/>
    </row>
    <row r="256">
      <c r="C256" s="52" t="n"/>
      <c r="D256" s="53" t="n"/>
      <c r="F256" s="53" t="n"/>
      <c r="G256" s="19" t="n"/>
    </row>
    <row r="257">
      <c r="C257" s="52" t="n"/>
      <c r="D257" s="53" t="n"/>
      <c r="F257" s="53" t="n"/>
      <c r="G257" s="19" t="n"/>
    </row>
    <row r="258">
      <c r="C258" s="52" t="n"/>
      <c r="D258" s="53" t="n"/>
      <c r="F258" s="53" t="n"/>
      <c r="G258" s="19" t="n"/>
    </row>
    <row r="259">
      <c r="C259" s="52" t="n"/>
      <c r="D259" s="53" t="n"/>
      <c r="F259" s="53" t="n"/>
      <c r="G259" s="19" t="n"/>
    </row>
    <row r="260">
      <c r="C260" s="52" t="n"/>
      <c r="D260" s="53" t="n"/>
      <c r="F260" s="53" t="n"/>
      <c r="G260" s="19" t="n"/>
    </row>
    <row r="261">
      <c r="C261" s="52" t="n"/>
      <c r="D261" s="53" t="n"/>
      <c r="F261" s="53" t="n"/>
      <c r="G261" s="19" t="n"/>
    </row>
    <row r="262">
      <c r="C262" s="52" t="n"/>
      <c r="D262" s="53" t="n"/>
      <c r="F262" s="53" t="n"/>
      <c r="G262" s="19" t="n"/>
    </row>
    <row r="263">
      <c r="C263" s="52" t="n"/>
      <c r="D263" s="53" t="n"/>
      <c r="F263" s="53" t="n"/>
      <c r="G263" s="19" t="n"/>
    </row>
    <row r="264">
      <c r="C264" s="52" t="n"/>
      <c r="D264" s="53" t="n"/>
      <c r="F264" s="53" t="n"/>
      <c r="G264" s="19" t="n"/>
    </row>
    <row r="265">
      <c r="C265" s="52" t="n"/>
      <c r="D265" s="53" t="n"/>
      <c r="F265" s="53" t="n"/>
      <c r="G265" s="19" t="n"/>
    </row>
    <row r="266">
      <c r="C266" s="52" t="n"/>
      <c r="D266" s="53" t="n"/>
      <c r="F266" s="53" t="n"/>
      <c r="G266" s="19" t="n"/>
    </row>
    <row r="267">
      <c r="C267" s="52" t="n"/>
      <c r="D267" s="53" t="n"/>
      <c r="F267" s="53" t="n"/>
      <c r="G267" s="19" t="n"/>
    </row>
    <row r="268">
      <c r="C268" s="52" t="n"/>
      <c r="D268" s="53" t="n"/>
      <c r="F268" s="53" t="n"/>
      <c r="G268" s="19" t="n"/>
    </row>
    <row r="269">
      <c r="C269" s="52" t="n"/>
      <c r="D269" s="53" t="n"/>
      <c r="F269" s="53" t="n"/>
      <c r="G269" s="19" t="n"/>
    </row>
    <row r="270">
      <c r="C270" s="52" t="n"/>
      <c r="D270" s="53" t="n"/>
      <c r="F270" s="53" t="n"/>
      <c r="G270" s="19" t="n"/>
    </row>
    <row r="271">
      <c r="C271" s="52" t="n"/>
      <c r="D271" s="53" t="n"/>
      <c r="F271" s="53" t="n"/>
      <c r="G271" s="19" t="n"/>
    </row>
    <row r="272">
      <c r="C272" s="52" t="n"/>
      <c r="D272" s="53" t="n"/>
      <c r="F272" s="53" t="n"/>
      <c r="G272" s="19" t="n"/>
    </row>
    <row r="273">
      <c r="C273" s="52" t="n"/>
      <c r="D273" s="53" t="n"/>
      <c r="F273" s="53" t="n"/>
      <c r="G273" s="19" t="n"/>
    </row>
    <row r="274">
      <c r="C274" s="52" t="n"/>
      <c r="D274" s="53" t="n"/>
      <c r="F274" s="53" t="n"/>
      <c r="G274" s="19" t="n"/>
    </row>
    <row r="275">
      <c r="C275" s="52" t="n"/>
      <c r="D275" s="53" t="n"/>
      <c r="F275" s="53" t="n"/>
      <c r="G275" s="19" t="n"/>
    </row>
    <row r="276">
      <c r="C276" s="52" t="n"/>
      <c r="D276" s="53" t="n"/>
      <c r="F276" s="53" t="n"/>
      <c r="G276" s="19" t="n"/>
    </row>
    <row r="277">
      <c r="C277" s="52" t="n"/>
      <c r="D277" s="53" t="n"/>
      <c r="F277" s="53" t="n"/>
      <c r="G277" s="19" t="n"/>
    </row>
    <row r="278">
      <c r="C278" s="52" t="n"/>
      <c r="D278" s="53" t="n"/>
      <c r="F278" s="53" t="n"/>
      <c r="G278" s="19" t="n"/>
    </row>
    <row r="279">
      <c r="C279" s="52" t="n"/>
      <c r="D279" s="53" t="n"/>
      <c r="F279" s="53" t="n"/>
      <c r="G279" s="19" t="n"/>
    </row>
    <row r="280">
      <c r="C280" s="52" t="n"/>
      <c r="D280" s="53" t="n"/>
      <c r="F280" s="53" t="n"/>
      <c r="G280" s="19" t="n"/>
    </row>
    <row r="281">
      <c r="C281" s="52" t="n"/>
      <c r="D281" s="53" t="n"/>
      <c r="F281" s="53" t="n"/>
      <c r="G281" s="19" t="n"/>
    </row>
    <row r="282">
      <c r="C282" s="52" t="n"/>
      <c r="D282" s="53" t="n"/>
      <c r="F282" s="53" t="n"/>
      <c r="G282" s="19" t="n"/>
    </row>
    <row r="283">
      <c r="C283" s="52" t="n"/>
      <c r="D283" s="53" t="n"/>
      <c r="F283" s="53" t="n"/>
      <c r="G283" s="19" t="n"/>
    </row>
    <row r="284">
      <c r="C284" s="52" t="n"/>
      <c r="D284" s="53" t="n"/>
      <c r="F284" s="53" t="n"/>
      <c r="G284" s="19" t="n"/>
    </row>
    <row r="285">
      <c r="C285" s="52" t="n"/>
      <c r="D285" s="53" t="n"/>
      <c r="F285" s="53" t="n"/>
      <c r="G285" s="19" t="n"/>
    </row>
    <row r="286">
      <c r="C286" s="52" t="n"/>
      <c r="D286" s="53" t="n"/>
      <c r="F286" s="53" t="n"/>
      <c r="G286" s="19" t="n"/>
    </row>
    <row r="287">
      <c r="C287" s="52" t="n"/>
      <c r="D287" s="53" t="n"/>
      <c r="F287" s="53" t="n"/>
      <c r="G287" s="19" t="n"/>
    </row>
    <row r="288">
      <c r="C288" s="52" t="n"/>
      <c r="D288" s="53" t="n"/>
      <c r="F288" s="53" t="n"/>
      <c r="G288" s="19" t="n"/>
    </row>
    <row r="289">
      <c r="C289" s="52" t="n"/>
      <c r="D289" s="53" t="n"/>
      <c r="F289" s="53" t="n"/>
      <c r="G289" s="19" t="n"/>
    </row>
    <row r="290">
      <c r="C290" s="52" t="n"/>
      <c r="D290" s="53" t="n"/>
      <c r="F290" s="53" t="n"/>
      <c r="G290" s="19" t="n"/>
    </row>
    <row r="291">
      <c r="C291" s="52" t="n"/>
      <c r="D291" s="53" t="n"/>
      <c r="F291" s="53" t="n"/>
      <c r="G291" s="19" t="n"/>
    </row>
    <row r="292">
      <c r="C292" s="52" t="n"/>
      <c r="D292" s="53" t="n"/>
      <c r="F292" s="53" t="n"/>
      <c r="G292" s="19" t="n"/>
    </row>
    <row r="293">
      <c r="C293" s="52" t="n"/>
      <c r="D293" s="53" t="n"/>
      <c r="F293" s="53" t="n"/>
      <c r="G293" s="19" t="n"/>
    </row>
    <row r="294">
      <c r="C294" s="52" t="n"/>
      <c r="D294" s="53" t="n"/>
      <c r="F294" s="53" t="n"/>
      <c r="G294" s="19" t="n"/>
    </row>
    <row r="295">
      <c r="C295" s="52" t="n"/>
      <c r="D295" s="53" t="n"/>
      <c r="F295" s="53" t="n"/>
      <c r="G295" s="19" t="n"/>
    </row>
    <row r="296">
      <c r="C296" s="52" t="n"/>
      <c r="D296" s="53" t="n"/>
      <c r="F296" s="53" t="n"/>
      <c r="G296" s="19" t="n"/>
    </row>
    <row r="297">
      <c r="C297" s="52" t="n"/>
      <c r="D297" s="53" t="n"/>
      <c r="F297" s="53" t="n"/>
      <c r="G297" s="19" t="n"/>
    </row>
    <row r="298">
      <c r="C298" s="52" t="n"/>
      <c r="D298" s="53" t="n"/>
      <c r="F298" s="53" t="n"/>
      <c r="G298" s="19" t="n"/>
    </row>
    <row r="299">
      <c r="C299" s="52" t="n"/>
      <c r="D299" s="53" t="n"/>
      <c r="F299" s="53" t="n"/>
      <c r="G299" s="19" t="n"/>
    </row>
    <row r="300">
      <c r="C300" s="52" t="n"/>
      <c r="D300" s="53" t="n"/>
      <c r="F300" s="53" t="n"/>
      <c r="G300" s="19" t="n"/>
    </row>
    <row r="301">
      <c r="C301" s="52" t="n"/>
      <c r="D301" s="53" t="n"/>
      <c r="F301" s="53" t="n"/>
      <c r="G301" s="19" t="n"/>
    </row>
    <row r="302">
      <c r="C302" s="52" t="n"/>
      <c r="D302" s="53" t="n"/>
      <c r="F302" s="53" t="n"/>
      <c r="G302" s="19" t="n"/>
    </row>
    <row r="303">
      <c r="C303" s="52" t="n"/>
      <c r="D303" s="53" t="n"/>
      <c r="F303" s="53" t="n"/>
      <c r="G303" s="19" t="n"/>
    </row>
    <row r="304">
      <c r="C304" s="52" t="n"/>
      <c r="D304" s="53" t="n"/>
      <c r="F304" s="53" t="n"/>
      <c r="G304" s="19" t="n"/>
    </row>
    <row r="305">
      <c r="C305" s="52" t="n"/>
      <c r="D305" s="53" t="n"/>
      <c r="F305" s="53" t="n"/>
      <c r="G305" s="19" t="n"/>
    </row>
    <row r="306">
      <c r="C306" s="52" t="n"/>
      <c r="D306" s="53" t="n"/>
      <c r="F306" s="53" t="n"/>
      <c r="G306" s="19" t="n"/>
    </row>
    <row r="307">
      <c r="C307" s="52" t="n"/>
      <c r="D307" s="53" t="n"/>
      <c r="F307" s="53" t="n"/>
      <c r="G307" s="19" t="n"/>
    </row>
    <row r="308">
      <c r="C308" s="52" t="n"/>
      <c r="D308" s="53" t="n"/>
      <c r="F308" s="53" t="n"/>
      <c r="G308" s="19" t="n"/>
    </row>
    <row r="309">
      <c r="C309" s="52" t="n"/>
      <c r="D309" s="53" t="n"/>
      <c r="F309" s="53" t="n"/>
      <c r="G309" s="19" t="n"/>
    </row>
    <row r="310">
      <c r="C310" s="52" t="n"/>
      <c r="D310" s="53" t="n"/>
      <c r="F310" s="53" t="n"/>
      <c r="G310" s="19" t="n"/>
    </row>
    <row r="311">
      <c r="C311" s="52" t="n"/>
      <c r="D311" s="53" t="n"/>
      <c r="F311" s="53" t="n"/>
      <c r="G311" s="19" t="n"/>
    </row>
    <row r="312">
      <c r="C312" s="52" t="n"/>
      <c r="D312" s="53" t="n"/>
      <c r="F312" s="53" t="n"/>
      <c r="G312" s="19" t="n"/>
    </row>
    <row r="313">
      <c r="C313" s="52" t="n"/>
      <c r="D313" s="53" t="n"/>
      <c r="F313" s="53" t="n"/>
      <c r="G313" s="19" t="n"/>
    </row>
    <row r="314">
      <c r="C314" s="52" t="n"/>
      <c r="D314" s="53" t="n"/>
      <c r="F314" s="53" t="n"/>
      <c r="G314" s="19" t="n"/>
    </row>
    <row r="315">
      <c r="C315" s="52" t="n"/>
      <c r="D315" s="53" t="n"/>
      <c r="F315" s="53" t="n"/>
      <c r="G315" s="19" t="n"/>
    </row>
    <row r="316">
      <c r="C316" s="52" t="n"/>
      <c r="D316" s="53" t="n"/>
      <c r="F316" s="53" t="n"/>
      <c r="G316" s="19" t="n"/>
    </row>
    <row r="317">
      <c r="C317" s="52" t="n"/>
      <c r="D317" s="53" t="n"/>
      <c r="F317" s="53" t="n"/>
      <c r="G317" s="19" t="n"/>
    </row>
    <row r="318">
      <c r="C318" s="52" t="n"/>
      <c r="D318" s="53" t="n"/>
      <c r="F318" s="53" t="n"/>
      <c r="G318" s="19" t="n"/>
    </row>
    <row r="319">
      <c r="C319" s="52" t="n"/>
      <c r="D319" s="53" t="n"/>
      <c r="F319" s="53" t="n"/>
      <c r="G319" s="19" t="n"/>
    </row>
    <row r="320">
      <c r="C320" s="52" t="n"/>
      <c r="D320" s="53" t="n"/>
      <c r="F320" s="53" t="n"/>
      <c r="G320" s="19" t="n"/>
    </row>
    <row r="321">
      <c r="C321" s="52" t="n"/>
      <c r="D321" s="53" t="n"/>
      <c r="F321" s="53" t="n"/>
      <c r="G321" s="19" t="n"/>
    </row>
    <row r="322">
      <c r="C322" s="52" t="n"/>
      <c r="D322" s="53" t="n"/>
      <c r="F322" s="53" t="n"/>
      <c r="G322" s="19" t="n"/>
    </row>
    <row r="323">
      <c r="C323" s="52" t="n"/>
      <c r="D323" s="53" t="n"/>
      <c r="F323" s="53" t="n"/>
      <c r="G323" s="19" t="n"/>
    </row>
    <row r="324">
      <c r="C324" s="52" t="n"/>
      <c r="D324" s="53" t="n"/>
      <c r="F324" s="53" t="n"/>
      <c r="G324" s="19" t="n"/>
    </row>
    <row r="325">
      <c r="C325" s="52" t="n"/>
      <c r="D325" s="53" t="n"/>
      <c r="F325" s="53" t="n"/>
      <c r="G325" s="19" t="n"/>
    </row>
    <row r="326">
      <c r="C326" s="52" t="n"/>
      <c r="D326" s="53" t="n"/>
      <c r="F326" s="53" t="n"/>
      <c r="G326" s="19" t="n"/>
    </row>
    <row r="327">
      <c r="C327" s="52" t="n"/>
      <c r="D327" s="53" t="n"/>
      <c r="F327" s="53" t="n"/>
      <c r="G327" s="19" t="n"/>
    </row>
    <row r="328">
      <c r="C328" s="52" t="n"/>
      <c r="D328" s="53" t="n"/>
      <c r="F328" s="53" t="n"/>
      <c r="G328" s="19" t="n"/>
    </row>
    <row r="329">
      <c r="C329" s="52" t="n"/>
      <c r="D329" s="53" t="n"/>
      <c r="F329" s="53" t="n"/>
      <c r="G329" s="19" t="n"/>
    </row>
    <row r="330">
      <c r="C330" s="52" t="n"/>
      <c r="D330" s="53" t="n"/>
      <c r="F330" s="53" t="n"/>
      <c r="G330" s="19" t="n"/>
    </row>
    <row r="331">
      <c r="C331" s="52" t="n"/>
      <c r="D331" s="53" t="n"/>
      <c r="F331" s="53" t="n"/>
      <c r="G331" s="19" t="n"/>
    </row>
    <row r="332">
      <c r="C332" s="52" t="n"/>
      <c r="D332" s="53" t="n"/>
      <c r="F332" s="53" t="n"/>
      <c r="G332" s="19" t="n"/>
    </row>
    <row r="333">
      <c r="C333" s="52" t="n"/>
      <c r="D333" s="53" t="n"/>
      <c r="F333" s="53" t="n"/>
      <c r="G333" s="19" t="n"/>
    </row>
    <row r="334">
      <c r="C334" s="52" t="n"/>
      <c r="D334" s="53" t="n"/>
      <c r="F334" s="53" t="n"/>
      <c r="G334" s="19" t="n"/>
    </row>
    <row r="335">
      <c r="C335" s="52" t="n"/>
      <c r="D335" s="53" t="n"/>
      <c r="F335" s="53" t="n"/>
      <c r="G335" s="19" t="n"/>
    </row>
    <row r="336">
      <c r="C336" s="52" t="n"/>
      <c r="D336" s="53" t="n"/>
      <c r="F336" s="53" t="n"/>
      <c r="G336" s="19" t="n"/>
    </row>
    <row r="337">
      <c r="C337" s="52" t="n"/>
      <c r="D337" s="53" t="n"/>
      <c r="F337" s="53" t="n"/>
      <c r="G337" s="19" t="n"/>
    </row>
    <row r="338">
      <c r="C338" s="52" t="n"/>
      <c r="D338" s="53" t="n"/>
      <c r="F338" s="53" t="n"/>
      <c r="G338" s="19" t="n"/>
    </row>
    <row r="339">
      <c r="C339" s="52" t="n"/>
      <c r="D339" s="53" t="n"/>
      <c r="F339" s="53" t="n"/>
      <c r="G339" s="19" t="n"/>
    </row>
    <row r="340">
      <c r="C340" s="52" t="n"/>
      <c r="D340" s="53" t="n"/>
      <c r="F340" s="53" t="n"/>
      <c r="G340" s="19" t="n"/>
    </row>
    <row r="341">
      <c r="C341" s="52" t="n"/>
      <c r="D341" s="53" t="n"/>
      <c r="F341" s="53" t="n"/>
      <c r="G341" s="19" t="n"/>
    </row>
    <row r="342">
      <c r="C342" s="52" t="n"/>
      <c r="D342" s="53" t="n"/>
      <c r="F342" s="53" t="n"/>
      <c r="G342" s="19" t="n"/>
    </row>
    <row r="343">
      <c r="C343" s="52" t="n"/>
      <c r="D343" s="53" t="n"/>
      <c r="F343" s="53" t="n"/>
      <c r="G343" s="19" t="n"/>
    </row>
    <row r="344">
      <c r="C344" s="52" t="n"/>
      <c r="D344" s="53" t="n"/>
      <c r="F344" s="53" t="n"/>
      <c r="G344" s="19" t="n"/>
    </row>
    <row r="345">
      <c r="C345" s="52" t="n"/>
      <c r="D345" s="53" t="n"/>
      <c r="F345" s="53" t="n"/>
      <c r="G345" s="19" t="n"/>
    </row>
    <row r="346">
      <c r="C346" s="52" t="n"/>
      <c r="D346" s="53" t="n"/>
      <c r="F346" s="53" t="n"/>
      <c r="G346" s="19" t="n"/>
    </row>
    <row r="347">
      <c r="C347" s="52" t="n"/>
      <c r="D347" s="53" t="n"/>
      <c r="F347" s="53" t="n"/>
      <c r="G347" s="19" t="n"/>
    </row>
    <row r="348">
      <c r="C348" s="52" t="n"/>
      <c r="D348" s="53" t="n"/>
      <c r="F348" s="53" t="n"/>
      <c r="G348" s="19" t="n"/>
    </row>
    <row r="349">
      <c r="C349" s="52" t="n"/>
      <c r="D349" s="53" t="n"/>
      <c r="F349" s="53" t="n"/>
      <c r="G349" s="19" t="n"/>
    </row>
    <row r="350">
      <c r="C350" s="52" t="n"/>
      <c r="D350" s="53" t="n"/>
      <c r="F350" s="53" t="n"/>
      <c r="G350" s="19" t="n"/>
    </row>
    <row r="351">
      <c r="C351" s="52" t="n"/>
      <c r="D351" s="53" t="n"/>
      <c r="F351" s="53" t="n"/>
      <c r="G351" s="19" t="n"/>
    </row>
    <row r="352">
      <c r="C352" s="52" t="n"/>
      <c r="D352" s="53" t="n"/>
      <c r="F352" s="53" t="n"/>
      <c r="G352" s="19" t="n"/>
    </row>
    <row r="353">
      <c r="C353" s="52" t="n"/>
      <c r="D353" s="53" t="n"/>
      <c r="F353" s="53" t="n"/>
      <c r="G353" s="19" t="n"/>
    </row>
    <row r="354">
      <c r="C354" s="52" t="n"/>
      <c r="D354" s="53" t="n"/>
      <c r="F354" s="53" t="n"/>
      <c r="G354" s="19" t="n"/>
    </row>
    <row r="355">
      <c r="C355" s="52" t="n"/>
      <c r="D355" s="53" t="n"/>
      <c r="F355" s="53" t="n"/>
      <c r="G355" s="19" t="n"/>
    </row>
    <row r="356">
      <c r="C356" s="52" t="n"/>
      <c r="D356" s="53" t="n"/>
      <c r="F356" s="53" t="n"/>
      <c r="G356" s="19" t="n"/>
    </row>
    <row r="357">
      <c r="C357" s="52" t="n"/>
      <c r="D357" s="53" t="n"/>
      <c r="F357" s="53" t="n"/>
      <c r="G357" s="19" t="n"/>
    </row>
    <row r="358">
      <c r="C358" s="52" t="n"/>
      <c r="D358" s="53" t="n"/>
      <c r="F358" s="53" t="n"/>
      <c r="G358" s="19" t="n"/>
    </row>
    <row r="359">
      <c r="C359" s="52" t="n"/>
      <c r="D359" s="53" t="n"/>
      <c r="F359" s="53" t="n"/>
      <c r="G359" s="19" t="n"/>
    </row>
    <row r="360">
      <c r="C360" s="52" t="n"/>
      <c r="D360" s="53" t="n"/>
      <c r="F360" s="53" t="n"/>
      <c r="G360" s="19" t="n"/>
    </row>
    <row r="361">
      <c r="C361" s="52" t="n"/>
      <c r="D361" s="53" t="n"/>
      <c r="F361" s="53" t="n"/>
      <c r="G361" s="19" t="n"/>
    </row>
    <row r="362">
      <c r="C362" s="52" t="n"/>
      <c r="D362" s="53" t="n"/>
      <c r="F362" s="53" t="n"/>
      <c r="G362" s="19" t="n"/>
    </row>
    <row r="363">
      <c r="C363" s="52" t="n"/>
      <c r="D363" s="53" t="n"/>
      <c r="F363" s="53" t="n"/>
      <c r="G363" s="19" t="n"/>
    </row>
    <row r="364">
      <c r="C364" s="52" t="n"/>
      <c r="D364" s="53" t="n"/>
      <c r="F364" s="53" t="n"/>
      <c r="G364" s="19" t="n"/>
    </row>
    <row r="365">
      <c r="C365" s="52" t="n"/>
      <c r="D365" s="53" t="n"/>
      <c r="F365" s="53" t="n"/>
      <c r="G365" s="19" t="n"/>
    </row>
    <row r="366">
      <c r="C366" s="52" t="n"/>
      <c r="D366" s="53" t="n"/>
      <c r="F366" s="53" t="n"/>
      <c r="G366" s="19" t="n"/>
    </row>
    <row r="367">
      <c r="C367" s="52" t="n"/>
      <c r="D367" s="53" t="n"/>
      <c r="F367" s="53" t="n"/>
      <c r="G367" s="19" t="n"/>
    </row>
    <row r="368">
      <c r="C368" s="52" t="n"/>
      <c r="D368" s="53" t="n"/>
      <c r="F368" s="53" t="n"/>
      <c r="G368" s="19" t="n"/>
    </row>
    <row r="369">
      <c r="C369" s="52" t="n"/>
      <c r="D369" s="53" t="n"/>
      <c r="F369" s="53" t="n"/>
      <c r="G369" s="19" t="n"/>
    </row>
    <row r="370">
      <c r="C370" s="52" t="n"/>
      <c r="D370" s="53" t="n"/>
      <c r="F370" s="53" t="n"/>
      <c r="G370" s="19" t="n"/>
    </row>
    <row r="371">
      <c r="C371" s="52" t="n"/>
      <c r="D371" s="53" t="n"/>
      <c r="F371" s="53" t="n"/>
      <c r="G371" s="19" t="n"/>
    </row>
    <row r="372">
      <c r="C372" s="52" t="n"/>
      <c r="D372" s="53" t="n"/>
      <c r="F372" s="53" t="n"/>
      <c r="G372" s="19" t="n"/>
    </row>
    <row r="373">
      <c r="C373" s="52" t="n"/>
      <c r="D373" s="53" t="n"/>
      <c r="F373" s="53" t="n"/>
      <c r="G373" s="19" t="n"/>
    </row>
    <row r="374">
      <c r="C374" s="52" t="n"/>
      <c r="D374" s="53" t="n"/>
      <c r="F374" s="53" t="n"/>
      <c r="G374" s="19" t="n"/>
    </row>
    <row r="375">
      <c r="C375" s="52" t="n"/>
      <c r="D375" s="53" t="n"/>
      <c r="F375" s="53" t="n"/>
      <c r="G375" s="19" t="n"/>
    </row>
    <row r="376">
      <c r="C376" s="52" t="n"/>
      <c r="D376" s="53" t="n"/>
      <c r="F376" s="53" t="n"/>
      <c r="G376" s="19" t="n"/>
    </row>
    <row r="377">
      <c r="C377" s="52" t="n"/>
      <c r="D377" s="53" t="n"/>
      <c r="F377" s="53" t="n"/>
      <c r="G377" s="19" t="n"/>
    </row>
    <row r="378">
      <c r="C378" s="52" t="n"/>
      <c r="D378" s="53" t="n"/>
      <c r="F378" s="53" t="n"/>
      <c r="G378" s="19" t="n"/>
    </row>
    <row r="379">
      <c r="C379" s="52" t="n"/>
      <c r="D379" s="53" t="n"/>
      <c r="F379" s="53" t="n"/>
      <c r="G379" s="19" t="n"/>
    </row>
    <row r="380">
      <c r="C380" s="52" t="n"/>
      <c r="D380" s="53" t="n"/>
      <c r="F380" s="53" t="n"/>
      <c r="G380" s="19" t="n"/>
    </row>
    <row r="381">
      <c r="C381" s="52" t="n"/>
      <c r="D381" s="53" t="n"/>
      <c r="F381" s="53" t="n"/>
      <c r="G381" s="19" t="n"/>
    </row>
    <row r="382">
      <c r="C382" s="52" t="n"/>
      <c r="D382" s="53" t="n"/>
      <c r="F382" s="53" t="n"/>
      <c r="G382" s="19" t="n"/>
    </row>
    <row r="383">
      <c r="C383" s="52" t="n"/>
      <c r="D383" s="53" t="n"/>
      <c r="F383" s="53" t="n"/>
      <c r="G383" s="19" t="n"/>
    </row>
    <row r="384">
      <c r="C384" s="52" t="n"/>
      <c r="D384" s="53" t="n"/>
      <c r="F384" s="53" t="n"/>
      <c r="G384" s="19" t="n"/>
    </row>
    <row r="385">
      <c r="C385" s="52" t="n"/>
      <c r="D385" s="53" t="n"/>
      <c r="F385" s="53" t="n"/>
      <c r="G385" s="19" t="n"/>
    </row>
    <row r="386">
      <c r="C386" s="52" t="n"/>
      <c r="D386" s="53" t="n"/>
      <c r="F386" s="53" t="n"/>
      <c r="G386" s="19" t="n"/>
    </row>
    <row r="387">
      <c r="C387" s="52" t="n"/>
      <c r="D387" s="53" t="n"/>
      <c r="F387" s="53" t="n"/>
      <c r="G387" s="19" t="n"/>
    </row>
    <row r="388">
      <c r="C388" s="52" t="n"/>
      <c r="D388" s="53" t="n"/>
      <c r="F388" s="53" t="n"/>
      <c r="G388" s="19" t="n"/>
    </row>
    <row r="389">
      <c r="C389" s="52" t="n"/>
      <c r="D389" s="53" t="n"/>
      <c r="F389" s="53" t="n"/>
      <c r="G389" s="19" t="n"/>
    </row>
    <row r="390">
      <c r="C390" s="52" t="n"/>
      <c r="D390" s="53" t="n"/>
      <c r="F390" s="53" t="n"/>
      <c r="G390" s="19" t="n"/>
    </row>
    <row r="391">
      <c r="C391" s="52" t="n"/>
      <c r="D391" s="53" t="n"/>
      <c r="F391" s="53" t="n"/>
      <c r="G391" s="19" t="n"/>
    </row>
    <row r="392">
      <c r="C392" s="52" t="n"/>
      <c r="D392" s="53" t="n"/>
      <c r="F392" s="53" t="n"/>
      <c r="G392" s="19" t="n"/>
    </row>
    <row r="393">
      <c r="C393" s="52" t="n"/>
      <c r="D393" s="53" t="n"/>
      <c r="F393" s="53" t="n"/>
      <c r="G393" s="19" t="n"/>
    </row>
    <row r="394">
      <c r="C394" s="52" t="n"/>
      <c r="D394" s="53" t="n"/>
      <c r="F394" s="53" t="n"/>
      <c r="G394" s="19" t="n"/>
    </row>
    <row r="395">
      <c r="C395" s="52" t="n"/>
      <c r="D395" s="53" t="n"/>
      <c r="F395" s="53" t="n"/>
      <c r="G395" s="19" t="n"/>
    </row>
    <row r="396">
      <c r="C396" s="52" t="n"/>
      <c r="D396" s="53" t="n"/>
      <c r="F396" s="53" t="n"/>
      <c r="G396" s="19" t="n"/>
    </row>
    <row r="397">
      <c r="C397" s="52" t="n"/>
      <c r="D397" s="53" t="n"/>
      <c r="F397" s="53" t="n"/>
      <c r="G397" s="19" t="n"/>
    </row>
    <row r="398">
      <c r="C398" s="52" t="n"/>
      <c r="D398" s="53" t="n"/>
      <c r="F398" s="53" t="n"/>
      <c r="G398" s="19" t="n"/>
    </row>
    <row r="399">
      <c r="C399" s="52" t="n"/>
      <c r="D399" s="53" t="n"/>
      <c r="F399" s="53" t="n"/>
      <c r="G399" s="19" t="n"/>
    </row>
    <row r="400">
      <c r="C400" s="52" t="n"/>
      <c r="D400" s="53" t="n"/>
      <c r="F400" s="53" t="n"/>
      <c r="G400" s="19" t="n"/>
    </row>
    <row r="401">
      <c r="C401" s="52" t="n"/>
      <c r="D401" s="53" t="n"/>
      <c r="F401" s="53" t="n"/>
      <c r="G401" s="19" t="n"/>
    </row>
    <row r="402">
      <c r="C402" s="52" t="n"/>
      <c r="D402" s="53" t="n"/>
      <c r="F402" s="53" t="n"/>
      <c r="G402" s="19" t="n"/>
    </row>
    <row r="403">
      <c r="C403" s="52" t="n"/>
      <c r="D403" s="53" t="n"/>
      <c r="F403" s="53" t="n"/>
      <c r="G403" s="19" t="n"/>
    </row>
    <row r="404">
      <c r="C404" s="52" t="n"/>
      <c r="D404" s="53" t="n"/>
      <c r="F404" s="53" t="n"/>
      <c r="G404" s="19" t="n"/>
    </row>
    <row r="405">
      <c r="C405" s="52" t="n"/>
      <c r="D405" s="53" t="n"/>
      <c r="F405" s="53" t="n"/>
      <c r="G405" s="19" t="n"/>
    </row>
    <row r="406">
      <c r="C406" s="52" t="n"/>
      <c r="D406" s="53" t="n"/>
      <c r="F406" s="53" t="n"/>
      <c r="G406" s="19" t="n"/>
    </row>
    <row r="407">
      <c r="C407" s="52" t="n"/>
      <c r="D407" s="53" t="n"/>
      <c r="F407" s="53" t="n"/>
      <c r="G407" s="19" t="n"/>
    </row>
    <row r="408">
      <c r="C408" s="52" t="n"/>
      <c r="D408" s="53" t="n"/>
      <c r="F408" s="53" t="n"/>
      <c r="G408" s="19" t="n"/>
    </row>
    <row r="409">
      <c r="C409" s="52" t="n"/>
      <c r="D409" s="53" t="n"/>
      <c r="F409" s="53" t="n"/>
      <c r="G409" s="19" t="n"/>
    </row>
    <row r="410">
      <c r="C410" s="52" t="n"/>
      <c r="D410" s="53" t="n"/>
      <c r="F410" s="53" t="n"/>
      <c r="G410" s="19" t="n"/>
    </row>
    <row r="411">
      <c r="C411" s="52" t="n"/>
      <c r="D411" s="53" t="n"/>
      <c r="F411" s="53" t="n"/>
      <c r="G411" s="19" t="n"/>
    </row>
    <row r="412">
      <c r="C412" s="52" t="n"/>
      <c r="D412" s="53" t="n"/>
      <c r="F412" s="53" t="n"/>
      <c r="G412" s="19" t="n"/>
    </row>
    <row r="413">
      <c r="C413" s="52" t="n"/>
      <c r="D413" s="53" t="n"/>
      <c r="F413" s="53" t="n"/>
      <c r="G413" s="19" t="n"/>
    </row>
    <row r="414">
      <c r="C414" s="52" t="n"/>
      <c r="D414" s="53" t="n"/>
      <c r="F414" s="53" t="n"/>
      <c r="G414" s="19" t="n"/>
    </row>
    <row r="415">
      <c r="C415" s="52" t="n"/>
      <c r="D415" s="53" t="n"/>
      <c r="F415" s="53" t="n"/>
      <c r="G415" s="19" t="n"/>
    </row>
    <row r="416">
      <c r="C416" s="52" t="n"/>
      <c r="D416" s="53" t="n"/>
      <c r="F416" s="53" t="n"/>
      <c r="G416" s="19" t="n"/>
    </row>
    <row r="417">
      <c r="C417" s="52" t="n"/>
      <c r="D417" s="53" t="n"/>
      <c r="F417" s="53" t="n"/>
      <c r="G417" s="19" t="n"/>
    </row>
    <row r="418">
      <c r="C418" s="52" t="n"/>
      <c r="D418" s="53" t="n"/>
      <c r="F418" s="53" t="n"/>
      <c r="G418" s="19" t="n"/>
    </row>
    <row r="419">
      <c r="C419" s="52" t="n"/>
      <c r="D419" s="53" t="n"/>
      <c r="F419" s="53" t="n"/>
      <c r="G419" s="19" t="n"/>
    </row>
    <row r="420">
      <c r="C420" s="52" t="n"/>
      <c r="D420" s="53" t="n"/>
      <c r="F420" s="53" t="n"/>
      <c r="G420" s="19" t="n"/>
    </row>
    <row r="421">
      <c r="C421" s="52" t="n"/>
      <c r="D421" s="53" t="n"/>
      <c r="F421" s="53" t="n"/>
      <c r="G421" s="19" t="n"/>
    </row>
    <row r="422">
      <c r="C422" s="52" t="n"/>
      <c r="D422" s="53" t="n"/>
      <c r="F422" s="53" t="n"/>
      <c r="G422" s="19" t="n"/>
    </row>
    <row r="423">
      <c r="C423" s="52" t="n"/>
      <c r="D423" s="53" t="n"/>
      <c r="F423" s="53" t="n"/>
      <c r="G423" s="19" t="n"/>
    </row>
    <row r="424">
      <c r="C424" s="52" t="n"/>
      <c r="D424" s="53" t="n"/>
      <c r="F424" s="53" t="n"/>
      <c r="G424" s="19" t="n"/>
    </row>
    <row r="425">
      <c r="C425" s="52" t="n"/>
      <c r="D425" s="53" t="n"/>
      <c r="F425" s="53" t="n"/>
      <c r="G425" s="19" t="n"/>
    </row>
    <row r="426">
      <c r="C426" s="52" t="n"/>
      <c r="D426" s="53" t="n"/>
      <c r="F426" s="53" t="n"/>
      <c r="G426" s="19" t="n"/>
    </row>
    <row r="427">
      <c r="C427" s="52" t="n"/>
      <c r="D427" s="53" t="n"/>
      <c r="F427" s="53" t="n"/>
      <c r="G427" s="19" t="n"/>
    </row>
    <row r="428">
      <c r="C428" s="52" t="n"/>
      <c r="D428" s="53" t="n"/>
      <c r="F428" s="53" t="n"/>
      <c r="G428" s="19" t="n"/>
    </row>
    <row r="429">
      <c r="C429" s="52" t="n"/>
      <c r="D429" s="53" t="n"/>
      <c r="F429" s="53" t="n"/>
      <c r="G429" s="19" t="n"/>
    </row>
    <row r="430">
      <c r="C430" s="52" t="n"/>
      <c r="D430" s="53" t="n"/>
      <c r="F430" s="53" t="n"/>
      <c r="G430" s="19" t="n"/>
    </row>
    <row r="431">
      <c r="C431" s="52" t="n"/>
      <c r="D431" s="53" t="n"/>
      <c r="F431" s="53" t="n"/>
      <c r="G431" s="19" t="n"/>
    </row>
    <row r="432">
      <c r="C432" s="52" t="n"/>
      <c r="D432" s="53" t="n"/>
      <c r="F432" s="53" t="n"/>
      <c r="G432" s="19" t="n"/>
    </row>
    <row r="433">
      <c r="C433" s="52" t="n"/>
      <c r="D433" s="53" t="n"/>
      <c r="F433" s="53" t="n"/>
      <c r="G433" s="19" t="n"/>
    </row>
    <row r="434">
      <c r="C434" s="52" t="n"/>
      <c r="D434" s="53" t="n"/>
      <c r="F434" s="53" t="n"/>
      <c r="G434" s="19" t="n"/>
    </row>
    <row r="435">
      <c r="C435" s="52" t="n"/>
      <c r="D435" s="53" t="n"/>
      <c r="F435" s="53" t="n"/>
      <c r="G435" s="19" t="n"/>
    </row>
    <row r="436">
      <c r="C436" s="52" t="n"/>
      <c r="D436" s="53" t="n"/>
      <c r="F436" s="53" t="n"/>
      <c r="G436" s="19" t="n"/>
    </row>
    <row r="437">
      <c r="C437" s="52" t="n"/>
      <c r="D437" s="53" t="n"/>
      <c r="F437" s="53" t="n"/>
      <c r="G437" s="19" t="n"/>
    </row>
    <row r="438">
      <c r="C438" s="52" t="n"/>
      <c r="D438" s="53" t="n"/>
      <c r="F438" s="53" t="n"/>
      <c r="G438" s="19" t="n"/>
    </row>
    <row r="439">
      <c r="C439" s="52" t="n"/>
      <c r="D439" s="53" t="n"/>
      <c r="F439" s="53" t="n"/>
      <c r="G439" s="19" t="n"/>
    </row>
    <row r="440">
      <c r="C440" s="52" t="n"/>
      <c r="D440" s="53" t="n"/>
      <c r="F440" s="53" t="n"/>
      <c r="G440" s="19" t="n"/>
    </row>
    <row r="441">
      <c r="C441" s="52" t="n"/>
      <c r="D441" s="53" t="n"/>
      <c r="F441" s="53" t="n"/>
      <c r="G441" s="19" t="n"/>
    </row>
    <row r="442">
      <c r="C442" s="52" t="n"/>
      <c r="D442" s="53" t="n"/>
      <c r="F442" s="53" t="n"/>
      <c r="G442" s="19" t="n"/>
    </row>
    <row r="443">
      <c r="C443" s="52" t="n"/>
      <c r="D443" s="53" t="n"/>
      <c r="F443" s="53" t="n"/>
      <c r="G443" s="19" t="n"/>
    </row>
    <row r="444">
      <c r="C444" s="52" t="n"/>
      <c r="D444" s="53" t="n"/>
      <c r="F444" s="53" t="n"/>
      <c r="G444" s="19" t="n"/>
    </row>
    <row r="445">
      <c r="C445" s="52" t="n"/>
      <c r="D445" s="53" t="n"/>
      <c r="F445" s="53" t="n"/>
      <c r="G445" s="19" t="n"/>
    </row>
    <row r="446">
      <c r="C446" s="52" t="n"/>
      <c r="D446" s="53" t="n"/>
      <c r="F446" s="53" t="n"/>
      <c r="G446" s="19" t="n"/>
    </row>
    <row r="447">
      <c r="C447" s="52" t="n"/>
      <c r="D447" s="53" t="n"/>
      <c r="F447" s="53" t="n"/>
      <c r="G447" s="19" t="n"/>
    </row>
    <row r="448">
      <c r="C448" s="52" t="n"/>
      <c r="D448" s="53" t="n"/>
      <c r="F448" s="53" t="n"/>
      <c r="G448" s="19" t="n"/>
    </row>
    <row r="449">
      <c r="C449" s="52" t="n"/>
      <c r="D449" s="53" t="n"/>
      <c r="F449" s="53" t="n"/>
      <c r="G449" s="19" t="n"/>
    </row>
    <row r="450">
      <c r="C450" s="52" t="n"/>
      <c r="D450" s="53" t="n"/>
      <c r="F450" s="53" t="n"/>
      <c r="G450" s="19" t="n"/>
    </row>
    <row r="451">
      <c r="C451" s="52" t="n"/>
      <c r="D451" s="53" t="n"/>
      <c r="F451" s="53" t="n"/>
      <c r="G451" s="19" t="n"/>
    </row>
    <row r="452">
      <c r="C452" s="52" t="n"/>
      <c r="D452" s="53" t="n"/>
      <c r="F452" s="53" t="n"/>
      <c r="G452" s="19" t="n"/>
    </row>
    <row r="453">
      <c r="C453" s="52" t="n"/>
      <c r="D453" s="53" t="n"/>
      <c r="F453" s="53" t="n"/>
      <c r="G453" s="19" t="n"/>
    </row>
    <row r="454">
      <c r="C454" s="52" t="n"/>
      <c r="D454" s="53" t="n"/>
      <c r="F454" s="53" t="n"/>
      <c r="G454" s="19" t="n"/>
    </row>
    <row r="455">
      <c r="C455" s="52" t="n"/>
      <c r="D455" s="53" t="n"/>
      <c r="F455" s="53" t="n"/>
      <c r="G455" s="19" t="n"/>
    </row>
    <row r="456">
      <c r="C456" s="52" t="n"/>
      <c r="D456" s="53" t="n"/>
      <c r="F456" s="53" t="n"/>
      <c r="G456" s="19" t="n"/>
    </row>
    <row r="457">
      <c r="C457" s="52" t="n"/>
      <c r="D457" s="53" t="n"/>
      <c r="F457" s="53" t="n"/>
      <c r="G457" s="19" t="n"/>
    </row>
    <row r="458">
      <c r="C458" s="52" t="n"/>
      <c r="D458" s="53" t="n"/>
      <c r="F458" s="53" t="n"/>
      <c r="G458" s="19" t="n"/>
    </row>
    <row r="459">
      <c r="C459" s="52" t="n"/>
      <c r="D459" s="53" t="n"/>
      <c r="F459" s="53" t="n"/>
      <c r="G459" s="19" t="n"/>
    </row>
    <row r="460">
      <c r="C460" s="52" t="n"/>
      <c r="D460" s="53" t="n"/>
      <c r="F460" s="53" t="n"/>
      <c r="G460" s="19" t="n"/>
    </row>
    <row r="461">
      <c r="C461" s="52" t="n"/>
      <c r="D461" s="53" t="n"/>
      <c r="F461" s="53" t="n"/>
      <c r="G461" s="19" t="n"/>
    </row>
    <row r="462">
      <c r="C462" s="52" t="n"/>
      <c r="D462" s="53" t="n"/>
      <c r="F462" s="53" t="n"/>
      <c r="G462" s="19" t="n"/>
    </row>
    <row r="463">
      <c r="C463" s="52" t="n"/>
      <c r="D463" s="53" t="n"/>
      <c r="F463" s="53" t="n"/>
      <c r="G463" s="19" t="n"/>
    </row>
    <row r="464">
      <c r="C464" s="52" t="n"/>
      <c r="D464" s="53" t="n"/>
      <c r="F464" s="53" t="n"/>
      <c r="G464" s="19" t="n"/>
    </row>
    <row r="465">
      <c r="C465" s="52" t="n"/>
      <c r="D465" s="53" t="n"/>
      <c r="F465" s="53" t="n"/>
      <c r="G465" s="19" t="n"/>
    </row>
    <row r="466">
      <c r="C466" s="52" t="n"/>
      <c r="D466" s="53" t="n"/>
      <c r="F466" s="53" t="n"/>
      <c r="G466" s="19" t="n"/>
    </row>
    <row r="467">
      <c r="C467" s="52" t="n"/>
      <c r="D467" s="53" t="n"/>
      <c r="F467" s="53" t="n"/>
      <c r="G467" s="19" t="n"/>
    </row>
    <row r="468">
      <c r="C468" s="52" t="n"/>
      <c r="D468" s="53" t="n"/>
      <c r="F468" s="53" t="n"/>
      <c r="G468" s="19" t="n"/>
    </row>
    <row r="469">
      <c r="C469" s="52" t="n"/>
      <c r="D469" s="53" t="n"/>
      <c r="F469" s="53" t="n"/>
      <c r="G469" s="19" t="n"/>
    </row>
    <row r="470">
      <c r="C470" s="52" t="n"/>
      <c r="D470" s="53" t="n"/>
      <c r="F470" s="53" t="n"/>
      <c r="G470" s="19" t="n"/>
    </row>
    <row r="471">
      <c r="C471" s="52" t="n"/>
      <c r="D471" s="53" t="n"/>
      <c r="F471" s="53" t="n"/>
      <c r="G471" s="19" t="n"/>
    </row>
    <row r="472">
      <c r="C472" s="52" t="n"/>
      <c r="D472" s="53" t="n"/>
      <c r="F472" s="53" t="n"/>
      <c r="G472" s="19" t="n"/>
    </row>
    <row r="473">
      <c r="C473" s="52" t="n"/>
      <c r="D473" s="53" t="n"/>
      <c r="F473" s="53" t="n"/>
      <c r="G473" s="19" t="n"/>
    </row>
    <row r="474">
      <c r="C474" s="52" t="n"/>
      <c r="D474" s="53" t="n"/>
      <c r="F474" s="53" t="n"/>
      <c r="G474" s="19" t="n"/>
    </row>
    <row r="475">
      <c r="C475" s="52" t="n"/>
      <c r="D475" s="53" t="n"/>
      <c r="F475" s="53" t="n"/>
      <c r="G475" s="19" t="n"/>
    </row>
    <row r="476">
      <c r="C476" s="52" t="n"/>
      <c r="D476" s="53" t="n"/>
      <c r="F476" s="53" t="n"/>
      <c r="G476" s="19" t="n"/>
    </row>
    <row r="477">
      <c r="C477" s="52" t="n"/>
      <c r="D477" s="53" t="n"/>
      <c r="F477" s="53" t="n"/>
      <c r="G477" s="19" t="n"/>
    </row>
    <row r="478">
      <c r="C478" s="52" t="n"/>
      <c r="D478" s="53" t="n"/>
      <c r="F478" s="53" t="n"/>
      <c r="G478" s="19" t="n"/>
    </row>
    <row r="479">
      <c r="C479" s="52" t="n"/>
      <c r="D479" s="53" t="n"/>
      <c r="F479" s="53" t="n"/>
      <c r="G479" s="19" t="n"/>
    </row>
    <row r="480">
      <c r="C480" s="52" t="n"/>
      <c r="D480" s="53" t="n"/>
      <c r="F480" s="53" t="n"/>
      <c r="G480" s="19" t="n"/>
    </row>
    <row r="481">
      <c r="C481" s="52" t="n"/>
      <c r="D481" s="53" t="n"/>
      <c r="F481" s="53" t="n"/>
      <c r="G481" s="19" t="n"/>
    </row>
    <row r="482">
      <c r="C482" s="52" t="n"/>
      <c r="D482" s="53" t="n"/>
      <c r="F482" s="53" t="n"/>
      <c r="G482" s="19" t="n"/>
    </row>
    <row r="483">
      <c r="C483" s="52" t="n"/>
      <c r="D483" s="53" t="n"/>
      <c r="F483" s="53" t="n"/>
      <c r="G483" s="19" t="n"/>
    </row>
    <row r="484">
      <c r="C484" s="52" t="n"/>
      <c r="D484" s="53" t="n"/>
      <c r="F484" s="53" t="n"/>
      <c r="G484" s="19" t="n"/>
    </row>
    <row r="485">
      <c r="C485" s="52" t="n"/>
      <c r="D485" s="53" t="n"/>
      <c r="F485" s="53" t="n"/>
      <c r="G485" s="19" t="n"/>
    </row>
    <row r="486">
      <c r="C486" s="52" t="n"/>
      <c r="D486" s="53" t="n"/>
      <c r="F486" s="53" t="n"/>
      <c r="G486" s="19" t="n"/>
    </row>
    <row r="487">
      <c r="C487" s="52" t="n"/>
      <c r="D487" s="53" t="n"/>
      <c r="F487" s="53" t="n"/>
      <c r="G487" s="19" t="n"/>
    </row>
    <row r="488">
      <c r="C488" s="52" t="n"/>
      <c r="D488" s="53" t="n"/>
      <c r="F488" s="53" t="n"/>
      <c r="G488" s="19" t="n"/>
    </row>
    <row r="489">
      <c r="C489" s="52" t="n"/>
      <c r="D489" s="53" t="n"/>
      <c r="F489" s="53" t="n"/>
      <c r="G489" s="19" t="n"/>
    </row>
    <row r="490">
      <c r="C490" s="52" t="n"/>
      <c r="D490" s="53" t="n"/>
      <c r="F490" s="53" t="n"/>
      <c r="G490" s="19" t="n"/>
    </row>
    <row r="491">
      <c r="C491" s="52" t="n"/>
      <c r="D491" s="53" t="n"/>
      <c r="F491" s="53" t="n"/>
      <c r="G491" s="19" t="n"/>
    </row>
    <row r="492">
      <c r="C492" s="52" t="n"/>
      <c r="D492" s="53" t="n"/>
      <c r="F492" s="53" t="n"/>
      <c r="G492" s="19" t="n"/>
    </row>
    <row r="493">
      <c r="C493" s="52" t="n"/>
      <c r="D493" s="53" t="n"/>
      <c r="F493" s="53" t="n"/>
      <c r="G493" s="19" t="n"/>
    </row>
    <row r="494">
      <c r="C494" s="52" t="n"/>
      <c r="D494" s="53" t="n"/>
      <c r="F494" s="53" t="n"/>
      <c r="G494" s="19" t="n"/>
    </row>
    <row r="495">
      <c r="C495" s="52" t="n"/>
      <c r="D495" s="53" t="n"/>
      <c r="F495" s="53" t="n"/>
      <c r="G495" s="19" t="n"/>
    </row>
    <row r="496">
      <c r="C496" s="52" t="n"/>
      <c r="D496" s="53" t="n"/>
      <c r="F496" s="53" t="n"/>
      <c r="G496" s="19" t="n"/>
    </row>
    <row r="497">
      <c r="C497" s="52" t="n"/>
      <c r="D497" s="53" t="n"/>
      <c r="F497" s="53" t="n"/>
      <c r="G497" s="19" t="n"/>
    </row>
    <row r="498">
      <c r="C498" s="52" t="n"/>
      <c r="D498" s="53" t="n"/>
      <c r="F498" s="53" t="n"/>
      <c r="G498" s="19" t="n"/>
    </row>
    <row r="499">
      <c r="C499" s="52" t="n"/>
      <c r="D499" s="53" t="n"/>
      <c r="F499" s="53" t="n"/>
      <c r="G499" s="19" t="n"/>
    </row>
    <row r="500">
      <c r="C500" s="52" t="n"/>
      <c r="D500" s="53" t="n"/>
      <c r="F500" s="53" t="n"/>
      <c r="G500" s="19" t="n"/>
    </row>
    <row r="501">
      <c r="C501" s="52" t="n"/>
      <c r="D501" s="53" t="n"/>
      <c r="F501" s="53" t="n"/>
      <c r="G501" s="19" t="n"/>
    </row>
    <row r="502">
      <c r="C502" s="52" t="n"/>
      <c r="D502" s="53" t="n"/>
      <c r="F502" s="53" t="n"/>
      <c r="G502" s="19" t="n"/>
    </row>
    <row r="503">
      <c r="C503" s="52" t="n"/>
      <c r="D503" s="53" t="n"/>
      <c r="F503" s="53" t="n"/>
      <c r="G503" s="19" t="n"/>
    </row>
    <row r="504">
      <c r="C504" s="52" t="n"/>
      <c r="D504" s="53" t="n"/>
      <c r="F504" s="53" t="n"/>
      <c r="G504" s="19" t="n"/>
    </row>
    <row r="505">
      <c r="C505" s="52" t="n"/>
      <c r="D505" s="53" t="n"/>
      <c r="F505" s="53" t="n"/>
      <c r="G505" s="19" t="n"/>
    </row>
    <row r="506">
      <c r="C506" s="52" t="n"/>
      <c r="D506" s="53" t="n"/>
      <c r="F506" s="53" t="n"/>
      <c r="G506" s="19" t="n"/>
    </row>
    <row r="507">
      <c r="C507" s="52" t="n"/>
      <c r="D507" s="53" t="n"/>
      <c r="F507" s="53" t="n"/>
      <c r="G507" s="19" t="n"/>
    </row>
    <row r="508">
      <c r="C508" s="52" t="n"/>
      <c r="D508" s="53" t="n"/>
      <c r="F508" s="53" t="n"/>
      <c r="G508" s="19" t="n"/>
    </row>
    <row r="509">
      <c r="C509" s="52" t="n"/>
      <c r="D509" s="53" t="n"/>
      <c r="F509" s="53" t="n"/>
      <c r="G509" s="19" t="n"/>
    </row>
    <row r="510">
      <c r="C510" s="52" t="n"/>
      <c r="D510" s="53" t="n"/>
      <c r="F510" s="53" t="n"/>
      <c r="G510" s="19" t="n"/>
    </row>
    <row r="511">
      <c r="C511" s="52" t="n"/>
      <c r="D511" s="53" t="n"/>
      <c r="F511" s="53" t="n"/>
      <c r="G511" s="19" t="n"/>
    </row>
    <row r="512">
      <c r="C512" s="52" t="n"/>
      <c r="D512" s="53" t="n"/>
      <c r="F512" s="53" t="n"/>
      <c r="G512" s="19" t="n"/>
    </row>
    <row r="513">
      <c r="C513" s="52" t="n"/>
      <c r="D513" s="53" t="n"/>
      <c r="F513" s="53" t="n"/>
      <c r="G513" s="19" t="n"/>
    </row>
    <row r="514">
      <c r="C514" s="52" t="n"/>
      <c r="D514" s="53" t="n"/>
      <c r="F514" s="53" t="n"/>
      <c r="G514" s="19" t="n"/>
    </row>
    <row r="515">
      <c r="C515" s="52" t="n"/>
      <c r="D515" s="53" t="n"/>
      <c r="F515" s="53" t="n"/>
      <c r="G515" s="19" t="n"/>
    </row>
    <row r="516">
      <c r="C516" s="52" t="n"/>
      <c r="D516" s="53" t="n"/>
      <c r="F516" s="53" t="n"/>
      <c r="G516" s="19" t="n"/>
    </row>
    <row r="517">
      <c r="C517" s="52" t="n"/>
      <c r="D517" s="53" t="n"/>
      <c r="F517" s="53" t="n"/>
      <c r="G517" s="19" t="n"/>
    </row>
    <row r="518">
      <c r="C518" s="52" t="n"/>
      <c r="D518" s="53" t="n"/>
      <c r="F518" s="53" t="n"/>
      <c r="G518" s="19" t="n"/>
    </row>
    <row r="519">
      <c r="C519" s="52" t="n"/>
      <c r="D519" s="53" t="n"/>
      <c r="F519" s="53" t="n"/>
      <c r="G519" s="19" t="n"/>
    </row>
    <row r="520">
      <c r="C520" s="52" t="n"/>
      <c r="D520" s="53" t="n"/>
      <c r="F520" s="53" t="n"/>
      <c r="G520" s="19" t="n"/>
    </row>
    <row r="521">
      <c r="C521" s="52" t="n"/>
      <c r="D521" s="53" t="n"/>
      <c r="F521" s="53" t="n"/>
      <c r="G521" s="19" t="n"/>
    </row>
    <row r="522">
      <c r="C522" s="52" t="n"/>
      <c r="D522" s="53" t="n"/>
      <c r="F522" s="53" t="n"/>
      <c r="G522" s="19" t="n"/>
    </row>
    <row r="523">
      <c r="C523" s="52" t="n"/>
      <c r="D523" s="53" t="n"/>
      <c r="F523" s="53" t="n"/>
      <c r="G523" s="19" t="n"/>
    </row>
    <row r="524">
      <c r="C524" s="52" t="n"/>
      <c r="D524" s="53" t="n"/>
      <c r="F524" s="53" t="n"/>
      <c r="G524" s="19" t="n"/>
    </row>
    <row r="525">
      <c r="C525" s="52" t="n"/>
      <c r="D525" s="53" t="n"/>
      <c r="F525" s="53" t="n"/>
      <c r="G525" s="19" t="n"/>
    </row>
    <row r="526">
      <c r="C526" s="52" t="n"/>
      <c r="D526" s="53" t="n"/>
      <c r="F526" s="53" t="n"/>
      <c r="G526" s="19" t="n"/>
    </row>
    <row r="527">
      <c r="C527" s="52" t="n"/>
      <c r="D527" s="53" t="n"/>
      <c r="F527" s="53" t="n"/>
      <c r="G527" s="19" t="n"/>
    </row>
    <row r="528">
      <c r="C528" s="52" t="n"/>
      <c r="D528" s="53" t="n"/>
      <c r="F528" s="53" t="n"/>
      <c r="G528" s="19" t="n"/>
    </row>
    <row r="529">
      <c r="C529" s="52" t="n"/>
      <c r="D529" s="53" t="n"/>
      <c r="F529" s="53" t="n"/>
      <c r="G529" s="19" t="n"/>
    </row>
    <row r="530">
      <c r="C530" s="52" t="n"/>
      <c r="D530" s="53" t="n"/>
      <c r="F530" s="53" t="n"/>
      <c r="G530" s="19" t="n"/>
    </row>
    <row r="531">
      <c r="C531" s="52" t="n"/>
      <c r="D531" s="53" t="n"/>
      <c r="F531" s="53" t="n"/>
      <c r="G531" s="19" t="n"/>
    </row>
    <row r="532">
      <c r="C532" s="52" t="n"/>
      <c r="D532" s="53" t="n"/>
      <c r="F532" s="53" t="n"/>
      <c r="G532" s="19" t="n"/>
    </row>
    <row r="533">
      <c r="C533" s="52" t="n"/>
      <c r="D533" s="53" t="n"/>
      <c r="F533" s="53" t="n"/>
      <c r="G533" s="19" t="n"/>
    </row>
    <row r="534">
      <c r="C534" s="52" t="n"/>
      <c r="D534" s="53" t="n"/>
      <c r="F534" s="53" t="n"/>
      <c r="G534" s="19" t="n"/>
    </row>
    <row r="535">
      <c r="C535" s="52" t="n"/>
      <c r="D535" s="53" t="n"/>
      <c r="F535" s="53" t="n"/>
      <c r="G535" s="19" t="n"/>
    </row>
    <row r="536">
      <c r="C536" s="52" t="n"/>
      <c r="D536" s="53" t="n"/>
      <c r="F536" s="53" t="n"/>
      <c r="G536" s="19" t="n"/>
    </row>
    <row r="537">
      <c r="C537" s="52" t="n"/>
      <c r="D537" s="53" t="n"/>
      <c r="F537" s="53" t="n"/>
      <c r="G537" s="19" t="n"/>
    </row>
    <row r="538">
      <c r="C538" s="52" t="n"/>
      <c r="D538" s="53" t="n"/>
      <c r="F538" s="53" t="n"/>
      <c r="G538" s="19" t="n"/>
    </row>
    <row r="539">
      <c r="C539" s="52" t="n"/>
      <c r="D539" s="53" t="n"/>
      <c r="F539" s="53" t="n"/>
      <c r="G539" s="19" t="n"/>
    </row>
    <row r="540">
      <c r="C540" s="52" t="n"/>
      <c r="D540" s="53" t="n"/>
      <c r="F540" s="53" t="n"/>
      <c r="G540" s="19" t="n"/>
    </row>
    <row r="541">
      <c r="C541" s="52" t="n"/>
      <c r="D541" s="53" t="n"/>
      <c r="F541" s="53" t="n"/>
      <c r="G541" s="19" t="n"/>
    </row>
    <row r="542">
      <c r="C542" s="52" t="n"/>
      <c r="D542" s="53" t="n"/>
      <c r="F542" s="53" t="n"/>
      <c r="G542" s="19" t="n"/>
    </row>
    <row r="543">
      <c r="C543" s="52" t="n"/>
      <c r="D543" s="53" t="n"/>
      <c r="F543" s="53" t="n"/>
      <c r="G543" s="19" t="n"/>
    </row>
    <row r="544">
      <c r="C544" s="52" t="n"/>
      <c r="D544" s="53" t="n"/>
      <c r="F544" s="53" t="n"/>
      <c r="G544" s="19" t="n"/>
    </row>
    <row r="545">
      <c r="C545" s="52" t="n"/>
      <c r="D545" s="53" t="n"/>
      <c r="F545" s="53" t="n"/>
      <c r="G545" s="19" t="n"/>
    </row>
    <row r="546">
      <c r="C546" s="52" t="n"/>
      <c r="D546" s="53" t="n"/>
      <c r="F546" s="53" t="n"/>
      <c r="G546" s="19" t="n"/>
    </row>
    <row r="547">
      <c r="C547" s="52" t="n"/>
      <c r="D547" s="53" t="n"/>
      <c r="F547" s="53" t="n"/>
      <c r="G547" s="19" t="n"/>
    </row>
    <row r="548">
      <c r="C548" s="52" t="n"/>
      <c r="D548" s="53" t="n"/>
      <c r="F548" s="53" t="n"/>
      <c r="G548" s="19" t="n"/>
    </row>
    <row r="549">
      <c r="C549" s="52" t="n"/>
      <c r="D549" s="53" t="n"/>
      <c r="F549" s="53" t="n"/>
      <c r="G549" s="19" t="n"/>
    </row>
    <row r="550">
      <c r="C550" s="52" t="n"/>
      <c r="D550" s="53" t="n"/>
      <c r="F550" s="53" t="n"/>
      <c r="G550" s="19" t="n"/>
    </row>
    <row r="551">
      <c r="C551" s="52" t="n"/>
      <c r="D551" s="53" t="n"/>
      <c r="F551" s="53" t="n"/>
      <c r="G551" s="19" t="n"/>
    </row>
    <row r="552">
      <c r="C552" s="52" t="n"/>
      <c r="D552" s="53" t="n"/>
      <c r="F552" s="53" t="n"/>
      <c r="G552" s="19" t="n"/>
    </row>
    <row r="553">
      <c r="C553" s="52" t="n"/>
      <c r="D553" s="53" t="n"/>
      <c r="F553" s="53" t="n"/>
      <c r="G553" s="19" t="n"/>
    </row>
    <row r="554">
      <c r="C554" s="52" t="n"/>
      <c r="D554" s="53" t="n"/>
      <c r="F554" s="53" t="n"/>
      <c r="G554" s="19" t="n"/>
    </row>
    <row r="555">
      <c r="C555" s="52" t="n"/>
      <c r="D555" s="53" t="n"/>
      <c r="F555" s="53" t="n"/>
      <c r="G555" s="19" t="n"/>
    </row>
    <row r="556">
      <c r="C556" s="52" t="n"/>
      <c r="D556" s="53" t="n"/>
      <c r="F556" s="53" t="n"/>
      <c r="G556" s="19" t="n"/>
    </row>
    <row r="557">
      <c r="C557" s="52" t="n"/>
      <c r="D557" s="53" t="n"/>
      <c r="F557" s="53" t="n"/>
      <c r="G557" s="19" t="n"/>
    </row>
    <row r="558">
      <c r="C558" s="52" t="n"/>
      <c r="D558" s="53" t="n"/>
      <c r="F558" s="53" t="n"/>
      <c r="G558" s="19" t="n"/>
    </row>
    <row r="559">
      <c r="C559" s="52" t="n"/>
      <c r="D559" s="53" t="n"/>
      <c r="F559" s="53" t="n"/>
      <c r="G559" s="19" t="n"/>
    </row>
    <row r="560">
      <c r="C560" s="52" t="n"/>
      <c r="D560" s="53" t="n"/>
      <c r="F560" s="53" t="n"/>
      <c r="G560" s="19" t="n"/>
    </row>
    <row r="561">
      <c r="C561" s="52" t="n"/>
      <c r="D561" s="53" t="n"/>
      <c r="F561" s="53" t="n"/>
      <c r="G561" s="19" t="n"/>
    </row>
    <row r="562">
      <c r="C562" s="52" t="n"/>
      <c r="D562" s="53" t="n"/>
      <c r="F562" s="53" t="n"/>
      <c r="G562" s="19" t="n"/>
    </row>
    <row r="563">
      <c r="C563" s="52" t="n"/>
      <c r="D563" s="53" t="n"/>
      <c r="F563" s="53" t="n"/>
      <c r="G563" s="19" t="n"/>
    </row>
    <row r="564">
      <c r="C564" s="52" t="n"/>
      <c r="D564" s="53" t="n"/>
      <c r="F564" s="53" t="n"/>
      <c r="G564" s="19" t="n"/>
    </row>
    <row r="565">
      <c r="C565" s="52" t="n"/>
      <c r="D565" s="53" t="n"/>
      <c r="F565" s="53" t="n"/>
      <c r="G565" s="19" t="n"/>
    </row>
    <row r="566">
      <c r="C566" s="52" t="n"/>
      <c r="D566" s="53" t="n"/>
      <c r="F566" s="53" t="n"/>
      <c r="G566" s="19" t="n"/>
    </row>
    <row r="567">
      <c r="C567" s="52" t="n"/>
      <c r="D567" s="53" t="n"/>
      <c r="F567" s="53" t="n"/>
      <c r="G567" s="19" t="n"/>
    </row>
    <row r="568">
      <c r="C568" s="52" t="n"/>
      <c r="D568" s="53" t="n"/>
      <c r="F568" s="53" t="n"/>
      <c r="G568" s="19" t="n"/>
    </row>
    <row r="569">
      <c r="C569" s="52" t="n"/>
      <c r="D569" s="53" t="n"/>
      <c r="F569" s="53" t="n"/>
      <c r="G569" s="19" t="n"/>
    </row>
    <row r="570">
      <c r="C570" s="52" t="n"/>
      <c r="D570" s="53" t="n"/>
      <c r="F570" s="53" t="n"/>
      <c r="G570" s="19" t="n"/>
    </row>
    <row r="571">
      <c r="C571" s="52" t="n"/>
      <c r="D571" s="53" t="n"/>
      <c r="F571" s="53" t="n"/>
      <c r="G571" s="19" t="n"/>
    </row>
    <row r="572">
      <c r="C572" s="52" t="n"/>
      <c r="D572" s="53" t="n"/>
      <c r="F572" s="53" t="n"/>
      <c r="G572" s="19" t="n"/>
    </row>
    <row r="573">
      <c r="C573" s="52" t="n"/>
      <c r="D573" s="53" t="n"/>
      <c r="F573" s="53" t="n"/>
      <c r="G573" s="19" t="n"/>
    </row>
    <row r="574">
      <c r="C574" s="52" t="n"/>
      <c r="D574" s="53" t="n"/>
      <c r="F574" s="53" t="n"/>
      <c r="G574" s="19" t="n"/>
    </row>
    <row r="575">
      <c r="C575" s="52" t="n"/>
      <c r="D575" s="53" t="n"/>
      <c r="F575" s="53" t="n"/>
      <c r="G575" s="19" t="n"/>
    </row>
    <row r="576">
      <c r="C576" s="52" t="n"/>
      <c r="D576" s="53" t="n"/>
      <c r="F576" s="53" t="n"/>
      <c r="G576" s="19" t="n"/>
    </row>
    <row r="577">
      <c r="C577" s="52" t="n"/>
      <c r="D577" s="53" t="n"/>
      <c r="F577" s="53" t="n"/>
      <c r="G577" s="19" t="n"/>
    </row>
    <row r="578">
      <c r="C578" s="52" t="n"/>
      <c r="D578" s="53" t="n"/>
      <c r="F578" s="53" t="n"/>
      <c r="G578" s="19" t="n"/>
    </row>
    <row r="579">
      <c r="C579" s="52" t="n"/>
      <c r="D579" s="53" t="n"/>
      <c r="F579" s="53" t="n"/>
      <c r="G579" s="19" t="n"/>
    </row>
    <row r="580">
      <c r="C580" s="52" t="n"/>
      <c r="D580" s="53" t="n"/>
      <c r="F580" s="53" t="n"/>
      <c r="G580" s="19" t="n"/>
    </row>
    <row r="581">
      <c r="C581" s="52" t="n"/>
      <c r="D581" s="53" t="n"/>
      <c r="F581" s="53" t="n"/>
      <c r="G581" s="19" t="n"/>
    </row>
    <row r="582">
      <c r="C582" s="52" t="n"/>
      <c r="D582" s="53" t="n"/>
      <c r="F582" s="53" t="n"/>
      <c r="G582" s="19" t="n"/>
    </row>
    <row r="583">
      <c r="C583" s="52" t="n"/>
      <c r="D583" s="53" t="n"/>
      <c r="F583" s="53" t="n"/>
      <c r="G583" s="19" t="n"/>
    </row>
    <row r="584">
      <c r="C584" s="52" t="n"/>
      <c r="D584" s="53" t="n"/>
      <c r="F584" s="53" t="n"/>
      <c r="G584" s="19" t="n"/>
    </row>
    <row r="585">
      <c r="C585" s="52" t="n"/>
      <c r="D585" s="53" t="n"/>
      <c r="F585" s="53" t="n"/>
      <c r="G585" s="19" t="n"/>
    </row>
    <row r="586">
      <c r="C586" s="52" t="n"/>
      <c r="D586" s="53" t="n"/>
      <c r="F586" s="53" t="n"/>
      <c r="G586" s="19" t="n"/>
    </row>
    <row r="587">
      <c r="C587" s="52" t="n"/>
      <c r="D587" s="53" t="n"/>
      <c r="F587" s="53" t="n"/>
      <c r="G587" s="19" t="n"/>
    </row>
    <row r="588">
      <c r="C588" s="52" t="n"/>
      <c r="D588" s="53" t="n"/>
      <c r="F588" s="53" t="n"/>
      <c r="G588" s="19" t="n"/>
    </row>
    <row r="589">
      <c r="C589" s="52" t="n"/>
      <c r="D589" s="53" t="n"/>
      <c r="F589" s="53" t="n"/>
      <c r="G589" s="19" t="n"/>
    </row>
    <row r="590">
      <c r="C590" s="52" t="n"/>
      <c r="D590" s="53" t="n"/>
      <c r="F590" s="53" t="n"/>
      <c r="G590" s="19" t="n"/>
    </row>
    <row r="591">
      <c r="C591" s="52" t="n"/>
      <c r="D591" s="53" t="n"/>
      <c r="F591" s="53" t="n"/>
      <c r="G591" s="19" t="n"/>
    </row>
    <row r="592">
      <c r="C592" s="52" t="n"/>
      <c r="D592" s="53" t="n"/>
      <c r="F592" s="53" t="n"/>
      <c r="G592" s="19" t="n"/>
    </row>
    <row r="593">
      <c r="C593" s="52" t="n"/>
      <c r="D593" s="53" t="n"/>
      <c r="F593" s="53" t="n"/>
      <c r="G593" s="19" t="n"/>
    </row>
    <row r="594">
      <c r="C594" s="52" t="n"/>
      <c r="D594" s="53" t="n"/>
      <c r="F594" s="53" t="n"/>
      <c r="G594" s="19" t="n"/>
    </row>
    <row r="595">
      <c r="C595" s="52" t="n"/>
      <c r="D595" s="53" t="n"/>
      <c r="F595" s="53" t="n"/>
      <c r="G595" s="19" t="n"/>
    </row>
    <row r="596">
      <c r="C596" s="52" t="n"/>
      <c r="D596" s="53" t="n"/>
      <c r="F596" s="53" t="n"/>
      <c r="G596" s="19" t="n"/>
    </row>
    <row r="597">
      <c r="C597" s="52" t="n"/>
      <c r="D597" s="53" t="n"/>
      <c r="F597" s="53" t="n"/>
      <c r="G597" s="19" t="n"/>
    </row>
    <row r="598">
      <c r="C598" s="52" t="n"/>
      <c r="D598" s="53" t="n"/>
      <c r="F598" s="53" t="n"/>
      <c r="G598" s="19" t="n"/>
    </row>
    <row r="599">
      <c r="C599" s="52" t="n"/>
      <c r="D599" s="53" t="n"/>
      <c r="F599" s="53" t="n"/>
      <c r="G599" s="19" t="n"/>
    </row>
    <row r="600">
      <c r="C600" s="52" t="n"/>
      <c r="D600" s="53" t="n"/>
      <c r="F600" s="53" t="n"/>
      <c r="G600" s="19" t="n"/>
    </row>
    <row r="601">
      <c r="C601" s="52" t="n"/>
      <c r="D601" s="53" t="n"/>
      <c r="F601" s="53" t="n"/>
      <c r="G601" s="19" t="n"/>
    </row>
    <row r="602">
      <c r="C602" s="52" t="n"/>
      <c r="D602" s="53" t="n"/>
      <c r="F602" s="53" t="n"/>
      <c r="G602" s="19" t="n"/>
    </row>
    <row r="603">
      <c r="C603" s="52" t="n"/>
      <c r="D603" s="53" t="n"/>
      <c r="F603" s="53" t="n"/>
      <c r="G603" s="19" t="n"/>
    </row>
    <row r="604">
      <c r="C604" s="52" t="n"/>
      <c r="D604" s="53" t="n"/>
      <c r="F604" s="53" t="n"/>
      <c r="G604" s="19" t="n"/>
    </row>
    <row r="605">
      <c r="C605" s="52" t="n"/>
      <c r="D605" s="53" t="n"/>
      <c r="F605" s="53" t="n"/>
      <c r="G605" s="19" t="n"/>
    </row>
    <row r="606">
      <c r="C606" s="52" t="n"/>
      <c r="D606" s="53" t="n"/>
      <c r="F606" s="53" t="n"/>
      <c r="G606" s="19" t="n"/>
    </row>
    <row r="607">
      <c r="C607" s="52" t="n"/>
      <c r="D607" s="53" t="n"/>
      <c r="F607" s="53" t="n"/>
      <c r="G607" s="19" t="n"/>
    </row>
    <row r="608">
      <c r="C608" s="52" t="n"/>
      <c r="D608" s="53" t="n"/>
      <c r="F608" s="53" t="n"/>
      <c r="G608" s="19" t="n"/>
    </row>
    <row r="609">
      <c r="C609" s="52" t="n"/>
      <c r="D609" s="53" t="n"/>
      <c r="F609" s="53" t="n"/>
      <c r="G609" s="19" t="n"/>
    </row>
    <row r="610">
      <c r="C610" s="52" t="n"/>
      <c r="D610" s="53" t="n"/>
      <c r="F610" s="53" t="n"/>
      <c r="G610" s="19" t="n"/>
    </row>
    <row r="611">
      <c r="C611" s="52" t="n"/>
      <c r="D611" s="53" t="n"/>
      <c r="F611" s="53" t="n"/>
      <c r="G611" s="19" t="n"/>
    </row>
    <row r="612">
      <c r="C612" s="52" t="n"/>
      <c r="D612" s="53" t="n"/>
      <c r="F612" s="53" t="n"/>
      <c r="G612" s="19" t="n"/>
    </row>
    <row r="613">
      <c r="C613" s="52" t="n"/>
      <c r="D613" s="53" t="n"/>
      <c r="F613" s="53" t="n"/>
      <c r="G613" s="19" t="n"/>
    </row>
    <row r="614">
      <c r="C614" s="52" t="n"/>
      <c r="D614" s="53" t="n"/>
      <c r="F614" s="53" t="n"/>
      <c r="G614" s="19" t="n"/>
    </row>
    <row r="615">
      <c r="C615" s="52" t="n"/>
      <c r="D615" s="53" t="n"/>
      <c r="F615" s="53" t="n"/>
      <c r="G615" s="19" t="n"/>
    </row>
    <row r="616">
      <c r="C616" s="52" t="n"/>
      <c r="D616" s="53" t="n"/>
      <c r="F616" s="53" t="n"/>
      <c r="G616" s="19" t="n"/>
    </row>
    <row r="617">
      <c r="C617" s="52" t="n"/>
      <c r="D617" s="53" t="n"/>
      <c r="F617" s="53" t="n"/>
      <c r="G617" s="19" t="n"/>
    </row>
    <row r="618">
      <c r="C618" s="52" t="n"/>
      <c r="D618" s="53" t="n"/>
      <c r="F618" s="53" t="n"/>
      <c r="G618" s="19" t="n"/>
    </row>
    <row r="619">
      <c r="C619" s="52" t="n"/>
      <c r="D619" s="53" t="n"/>
      <c r="F619" s="53" t="n"/>
      <c r="G619" s="19" t="n"/>
    </row>
    <row r="620">
      <c r="C620" s="52" t="n"/>
      <c r="D620" s="53" t="n"/>
      <c r="F620" s="53" t="n"/>
      <c r="G620" s="19" t="n"/>
    </row>
    <row r="621">
      <c r="C621" s="52" t="n"/>
      <c r="D621" s="53" t="n"/>
      <c r="F621" s="53" t="n"/>
      <c r="G621" s="19" t="n"/>
    </row>
    <row r="622">
      <c r="C622" s="52" t="n"/>
      <c r="D622" s="53" t="n"/>
      <c r="F622" s="53" t="n"/>
      <c r="G622" s="19" t="n"/>
    </row>
    <row r="623">
      <c r="C623" s="52" t="n"/>
      <c r="D623" s="53" t="n"/>
      <c r="F623" s="53" t="n"/>
      <c r="G623" s="19" t="n"/>
    </row>
    <row r="624">
      <c r="C624" s="52" t="n"/>
      <c r="D624" s="53" t="n"/>
      <c r="F624" s="53" t="n"/>
      <c r="G624" s="19" t="n"/>
    </row>
    <row r="625">
      <c r="C625" s="52" t="n"/>
      <c r="D625" s="53" t="n"/>
      <c r="F625" s="53" t="n"/>
      <c r="G625" s="19" t="n"/>
    </row>
    <row r="626">
      <c r="C626" s="52" t="n"/>
      <c r="D626" s="53" t="n"/>
      <c r="F626" s="53" t="n"/>
      <c r="G626" s="19" t="n"/>
    </row>
    <row r="627">
      <c r="C627" s="52" t="n"/>
      <c r="D627" s="53" t="n"/>
      <c r="F627" s="53" t="n"/>
      <c r="G627" s="19" t="n"/>
    </row>
    <row r="628">
      <c r="C628" s="52" t="n"/>
      <c r="D628" s="53" t="n"/>
      <c r="F628" s="53" t="n"/>
      <c r="G628" s="19" t="n"/>
    </row>
    <row r="629">
      <c r="C629" s="52" t="n"/>
      <c r="D629" s="53" t="n"/>
      <c r="F629" s="53" t="n"/>
      <c r="G629" s="19" t="n"/>
    </row>
    <row r="630">
      <c r="C630" s="52" t="n"/>
      <c r="D630" s="53" t="n"/>
      <c r="F630" s="53" t="n"/>
      <c r="G630" s="19" t="n"/>
    </row>
    <row r="631">
      <c r="C631" s="52" t="n"/>
      <c r="D631" s="53" t="n"/>
      <c r="F631" s="53" t="n"/>
      <c r="G631" s="19" t="n"/>
    </row>
    <row r="632">
      <c r="C632" s="52" t="n"/>
      <c r="D632" s="53" t="n"/>
      <c r="F632" s="53" t="n"/>
      <c r="G632" s="19" t="n"/>
    </row>
    <row r="633">
      <c r="C633" s="52" t="n"/>
      <c r="D633" s="53" t="n"/>
      <c r="F633" s="53" t="n"/>
      <c r="G633" s="19" t="n"/>
    </row>
    <row r="634">
      <c r="C634" s="52" t="n"/>
      <c r="D634" s="53" t="n"/>
      <c r="F634" s="53" t="n"/>
      <c r="G634" s="19" t="n"/>
    </row>
    <row r="635">
      <c r="C635" s="52" t="n"/>
      <c r="D635" s="53" t="n"/>
      <c r="F635" s="53" t="n"/>
      <c r="G635" s="19" t="n"/>
    </row>
    <row r="636">
      <c r="C636" s="52" t="n"/>
      <c r="D636" s="53" t="n"/>
      <c r="F636" s="53" t="n"/>
      <c r="G636" s="19" t="n"/>
    </row>
    <row r="637">
      <c r="C637" s="52" t="n"/>
      <c r="D637" s="53" t="n"/>
      <c r="F637" s="53" t="n"/>
      <c r="G637" s="19" t="n"/>
    </row>
    <row r="638">
      <c r="C638" s="52" t="n"/>
      <c r="D638" s="53" t="n"/>
      <c r="F638" s="53" t="n"/>
      <c r="G638" s="19" t="n"/>
    </row>
    <row r="639">
      <c r="C639" s="52" t="n"/>
      <c r="D639" s="53" t="n"/>
      <c r="F639" s="53" t="n"/>
      <c r="G639" s="19" t="n"/>
    </row>
    <row r="640">
      <c r="C640" s="52" t="n"/>
      <c r="D640" s="53" t="n"/>
      <c r="F640" s="53" t="n"/>
      <c r="G640" s="19" t="n"/>
    </row>
    <row r="641">
      <c r="C641" s="52" t="n"/>
      <c r="D641" s="53" t="n"/>
      <c r="F641" s="53" t="n"/>
      <c r="G641" s="19" t="n"/>
    </row>
    <row r="642">
      <c r="C642" s="52" t="n"/>
      <c r="D642" s="53" t="n"/>
      <c r="F642" s="53" t="n"/>
      <c r="G642" s="19" t="n"/>
    </row>
    <row r="643">
      <c r="C643" s="52" t="n"/>
      <c r="D643" s="53" t="n"/>
      <c r="F643" s="53" t="n"/>
      <c r="G643" s="19" t="n"/>
    </row>
    <row r="644">
      <c r="C644" s="52" t="n"/>
      <c r="D644" s="53" t="n"/>
      <c r="F644" s="53" t="n"/>
      <c r="G644" s="19" t="n"/>
    </row>
    <row r="645">
      <c r="C645" s="52" t="n"/>
      <c r="D645" s="53" t="n"/>
      <c r="F645" s="53" t="n"/>
      <c r="G645" s="19" t="n"/>
    </row>
    <row r="646">
      <c r="C646" s="52" t="n"/>
      <c r="D646" s="53" t="n"/>
      <c r="F646" s="53" t="n"/>
      <c r="G646" s="19" t="n"/>
    </row>
    <row r="647">
      <c r="C647" s="52" t="n"/>
      <c r="D647" s="53" t="n"/>
      <c r="F647" s="53" t="n"/>
      <c r="G647" s="19" t="n"/>
    </row>
    <row r="648">
      <c r="C648" s="52" t="n"/>
      <c r="D648" s="53" t="n"/>
      <c r="F648" s="53" t="n"/>
      <c r="G648" s="19" t="n"/>
    </row>
    <row r="649">
      <c r="C649" s="52" t="n"/>
      <c r="D649" s="53" t="n"/>
      <c r="F649" s="53" t="n"/>
      <c r="G649" s="19" t="n"/>
    </row>
    <row r="650">
      <c r="C650" s="52" t="n"/>
      <c r="D650" s="53" t="n"/>
      <c r="F650" s="53" t="n"/>
      <c r="G650" s="19" t="n"/>
    </row>
    <row r="651">
      <c r="C651" s="52" t="n"/>
      <c r="D651" s="53" t="n"/>
      <c r="F651" s="53" t="n"/>
      <c r="G651" s="19" t="n"/>
    </row>
    <row r="652">
      <c r="C652" s="52" t="n"/>
      <c r="D652" s="53" t="n"/>
      <c r="F652" s="53" t="n"/>
      <c r="G652" s="19" t="n"/>
    </row>
    <row r="653">
      <c r="C653" s="52" t="n"/>
      <c r="D653" s="53" t="n"/>
      <c r="F653" s="53" t="n"/>
      <c r="G653" s="19" t="n"/>
    </row>
    <row r="654">
      <c r="C654" s="52" t="n"/>
      <c r="D654" s="53" t="n"/>
      <c r="F654" s="53" t="n"/>
      <c r="G654" s="19" t="n"/>
    </row>
    <row r="655">
      <c r="C655" s="52" t="n"/>
      <c r="D655" s="53" t="n"/>
      <c r="F655" s="53" t="n"/>
      <c r="G655" s="19" t="n"/>
    </row>
    <row r="656">
      <c r="C656" s="52" t="n"/>
      <c r="D656" s="53" t="n"/>
      <c r="F656" s="53" t="n"/>
      <c r="G656" s="19" t="n"/>
    </row>
    <row r="657">
      <c r="C657" s="52" t="n"/>
      <c r="D657" s="53" t="n"/>
      <c r="F657" s="53" t="n"/>
      <c r="G657" s="19" t="n"/>
    </row>
    <row r="658">
      <c r="C658" s="52" t="n"/>
      <c r="D658" s="53" t="n"/>
      <c r="F658" s="53" t="n"/>
      <c r="G658" s="19" t="n"/>
    </row>
    <row r="659">
      <c r="C659" s="52" t="n"/>
      <c r="D659" s="53" t="n"/>
      <c r="F659" s="53" t="n"/>
      <c r="G659" s="19" t="n"/>
    </row>
    <row r="660">
      <c r="C660" s="52" t="n"/>
      <c r="D660" s="53" t="n"/>
      <c r="F660" s="53" t="n"/>
      <c r="G660" s="19" t="n"/>
    </row>
    <row r="661">
      <c r="C661" s="52" t="n"/>
      <c r="D661" s="53" t="n"/>
      <c r="F661" s="53" t="n"/>
      <c r="G661" s="19" t="n"/>
    </row>
    <row r="662">
      <c r="C662" s="52" t="n"/>
      <c r="D662" s="53" t="n"/>
      <c r="F662" s="53" t="n"/>
      <c r="G662" s="19" t="n"/>
    </row>
    <row r="663">
      <c r="C663" s="52" t="n"/>
      <c r="D663" s="53" t="n"/>
      <c r="F663" s="53" t="n"/>
      <c r="G663" s="19" t="n"/>
    </row>
    <row r="664">
      <c r="C664" s="52" t="n"/>
      <c r="D664" s="53" t="n"/>
      <c r="F664" s="53" t="n"/>
      <c r="G664" s="19" t="n"/>
    </row>
    <row r="665">
      <c r="C665" s="52" t="n"/>
      <c r="D665" s="53" t="n"/>
      <c r="F665" s="53" t="n"/>
      <c r="G665" s="19" t="n"/>
    </row>
    <row r="666">
      <c r="C666" s="52" t="n"/>
      <c r="D666" s="53" t="n"/>
      <c r="F666" s="53" t="n"/>
      <c r="G666" s="19" t="n"/>
    </row>
    <row r="667">
      <c r="C667" s="52" t="n"/>
      <c r="D667" s="53" t="n"/>
      <c r="F667" s="53" t="n"/>
      <c r="G667" s="19" t="n"/>
    </row>
    <row r="668">
      <c r="C668" s="52" t="n"/>
      <c r="D668" s="53" t="n"/>
      <c r="F668" s="53" t="n"/>
      <c r="G668" s="19" t="n"/>
    </row>
    <row r="669">
      <c r="C669" s="52" t="n"/>
      <c r="D669" s="53" t="n"/>
      <c r="F669" s="53" t="n"/>
      <c r="G669" s="19" t="n"/>
    </row>
    <row r="670">
      <c r="C670" s="52" t="n"/>
      <c r="D670" s="53" t="n"/>
      <c r="F670" s="53" t="n"/>
      <c r="G670" s="19" t="n"/>
    </row>
    <row r="671">
      <c r="C671" s="52" t="n"/>
      <c r="D671" s="53" t="n"/>
      <c r="F671" s="53" t="n"/>
      <c r="G671" s="19" t="n"/>
    </row>
    <row r="672">
      <c r="C672" s="52" t="n"/>
      <c r="D672" s="53" t="n"/>
      <c r="F672" s="53" t="n"/>
      <c r="G672" s="19" t="n"/>
    </row>
    <row r="673">
      <c r="C673" s="52" t="n"/>
      <c r="D673" s="53" t="n"/>
      <c r="F673" s="53" t="n"/>
      <c r="G673" s="19" t="n"/>
    </row>
    <row r="674">
      <c r="C674" s="52" t="n"/>
      <c r="D674" s="53" t="n"/>
      <c r="F674" s="53" t="n"/>
      <c r="G674" s="19" t="n"/>
    </row>
    <row r="675">
      <c r="C675" s="52" t="n"/>
      <c r="D675" s="53" t="n"/>
      <c r="F675" s="53" t="n"/>
      <c r="G675" s="19" t="n"/>
    </row>
    <row r="676">
      <c r="C676" s="52" t="n"/>
      <c r="D676" s="53" t="n"/>
      <c r="F676" s="53" t="n"/>
      <c r="G676" s="19" t="n"/>
    </row>
    <row r="677">
      <c r="C677" s="52" t="n"/>
      <c r="D677" s="53" t="n"/>
      <c r="F677" s="53" t="n"/>
      <c r="G677" s="19" t="n"/>
    </row>
    <row r="678">
      <c r="C678" s="52" t="n"/>
      <c r="D678" s="53" t="n"/>
      <c r="F678" s="53" t="n"/>
      <c r="G678" s="19" t="n"/>
    </row>
    <row r="679">
      <c r="C679" s="52" t="n"/>
      <c r="D679" s="53" t="n"/>
      <c r="F679" s="53" t="n"/>
      <c r="G679" s="19" t="n"/>
    </row>
    <row r="680">
      <c r="C680" s="52" t="n"/>
      <c r="D680" s="53" t="n"/>
      <c r="F680" s="53" t="n"/>
      <c r="G680" s="19" t="n"/>
    </row>
    <row r="681">
      <c r="C681" s="52" t="n"/>
      <c r="D681" s="53" t="n"/>
      <c r="F681" s="53" t="n"/>
      <c r="G681" s="19" t="n"/>
    </row>
    <row r="682">
      <c r="C682" s="52" t="n"/>
      <c r="D682" s="53" t="n"/>
      <c r="F682" s="53" t="n"/>
      <c r="G682" s="19" t="n"/>
    </row>
    <row r="683">
      <c r="C683" s="52" t="n"/>
      <c r="D683" s="53" t="n"/>
      <c r="F683" s="53" t="n"/>
      <c r="G683" s="19" t="n"/>
    </row>
    <row r="684">
      <c r="C684" s="52" t="n"/>
      <c r="D684" s="53" t="n"/>
      <c r="F684" s="53" t="n"/>
      <c r="G684" s="19" t="n"/>
    </row>
    <row r="685">
      <c r="C685" s="52" t="n"/>
      <c r="D685" s="53" t="n"/>
      <c r="F685" s="53" t="n"/>
      <c r="G685" s="19" t="n"/>
    </row>
    <row r="686">
      <c r="C686" s="52" t="n"/>
      <c r="D686" s="53" t="n"/>
      <c r="F686" s="53" t="n"/>
      <c r="G686" s="19" t="n"/>
    </row>
    <row r="687">
      <c r="C687" s="52" t="n"/>
      <c r="D687" s="53" t="n"/>
      <c r="F687" s="53" t="n"/>
      <c r="G687" s="19" t="n"/>
    </row>
    <row r="688">
      <c r="C688" s="52" t="n"/>
      <c r="D688" s="53" t="n"/>
      <c r="F688" s="53" t="n"/>
      <c r="G688" s="19" t="n"/>
    </row>
    <row r="689">
      <c r="C689" s="52" t="n"/>
      <c r="D689" s="53" t="n"/>
      <c r="F689" s="53" t="n"/>
      <c r="G689" s="19" t="n"/>
    </row>
    <row r="690">
      <c r="C690" s="52" t="n"/>
      <c r="D690" s="53" t="n"/>
      <c r="F690" s="53" t="n"/>
      <c r="G690" s="19" t="n"/>
    </row>
    <row r="691">
      <c r="C691" s="52" t="n"/>
      <c r="D691" s="53" t="n"/>
      <c r="F691" s="53" t="n"/>
      <c r="G691" s="19" t="n"/>
    </row>
    <row r="692">
      <c r="C692" s="52" t="n"/>
      <c r="D692" s="53" t="n"/>
      <c r="F692" s="53" t="n"/>
      <c r="G692" s="19" t="n"/>
    </row>
    <row r="693">
      <c r="C693" s="52" t="n"/>
      <c r="D693" s="53" t="n"/>
      <c r="F693" s="53" t="n"/>
      <c r="G693" s="19" t="n"/>
    </row>
    <row r="694">
      <c r="C694" s="52" t="n"/>
      <c r="D694" s="53" t="n"/>
      <c r="F694" s="53" t="n"/>
      <c r="G694" s="19" t="n"/>
    </row>
    <row r="695">
      <c r="C695" s="52" t="n"/>
      <c r="D695" s="53" t="n"/>
      <c r="F695" s="53" t="n"/>
      <c r="G695" s="19" t="n"/>
    </row>
    <row r="696">
      <c r="C696" s="52" t="n"/>
      <c r="D696" s="53" t="n"/>
      <c r="F696" s="53" t="n"/>
      <c r="G696" s="19" t="n"/>
    </row>
    <row r="697">
      <c r="C697" s="52" t="n"/>
      <c r="D697" s="53" t="n"/>
      <c r="F697" s="53" t="n"/>
      <c r="G697" s="19" t="n"/>
    </row>
    <row r="698">
      <c r="C698" s="52" t="n"/>
      <c r="D698" s="53" t="n"/>
      <c r="F698" s="53" t="n"/>
      <c r="G698" s="19" t="n"/>
    </row>
    <row r="699">
      <c r="C699" s="52" t="n"/>
      <c r="D699" s="53" t="n"/>
      <c r="F699" s="53" t="n"/>
      <c r="G699" s="19" t="n"/>
    </row>
    <row r="700">
      <c r="C700" s="52" t="n"/>
      <c r="D700" s="53" t="n"/>
      <c r="F700" s="53" t="n"/>
      <c r="G700" s="19" t="n"/>
    </row>
    <row r="701">
      <c r="C701" s="52" t="n"/>
      <c r="D701" s="53" t="n"/>
      <c r="F701" s="53" t="n"/>
      <c r="G701" s="19" t="n"/>
    </row>
    <row r="702">
      <c r="C702" s="52" t="n"/>
      <c r="D702" s="53" t="n"/>
      <c r="F702" s="53" t="n"/>
      <c r="G702" s="19" t="n"/>
    </row>
    <row r="703">
      <c r="C703" s="52" t="n"/>
      <c r="D703" s="53" t="n"/>
      <c r="F703" s="53" t="n"/>
      <c r="G703" s="19" t="n"/>
    </row>
    <row r="704">
      <c r="C704" s="52" t="n"/>
      <c r="D704" s="53" t="n"/>
      <c r="F704" s="53" t="n"/>
      <c r="G704" s="19" t="n"/>
    </row>
    <row r="705">
      <c r="C705" s="52" t="n"/>
      <c r="D705" s="53" t="n"/>
      <c r="F705" s="53" t="n"/>
      <c r="G705" s="19" t="n"/>
    </row>
    <row r="706">
      <c r="C706" s="52" t="n"/>
      <c r="D706" s="53" t="n"/>
      <c r="F706" s="53" t="n"/>
      <c r="G706" s="19" t="n"/>
    </row>
    <row r="707">
      <c r="C707" s="52" t="n"/>
      <c r="D707" s="53" t="n"/>
      <c r="F707" s="53" t="n"/>
      <c r="G707" s="19" t="n"/>
    </row>
    <row r="708">
      <c r="C708" s="52" t="n"/>
      <c r="D708" s="53" t="n"/>
      <c r="F708" s="53" t="n"/>
      <c r="G708" s="19" t="n"/>
    </row>
    <row r="709">
      <c r="C709" s="52" t="n"/>
      <c r="D709" s="53" t="n"/>
      <c r="F709" s="53" t="n"/>
      <c r="G709" s="19" t="n"/>
    </row>
    <row r="710">
      <c r="C710" s="52" t="n"/>
      <c r="D710" s="53" t="n"/>
      <c r="F710" s="53" t="n"/>
      <c r="G710" s="19" t="n"/>
    </row>
    <row r="711">
      <c r="C711" s="52" t="n"/>
      <c r="D711" s="53" t="n"/>
      <c r="F711" s="53" t="n"/>
      <c r="G711" s="19" t="n"/>
    </row>
    <row r="712">
      <c r="C712" s="52" t="n"/>
      <c r="D712" s="53" t="n"/>
      <c r="F712" s="53" t="n"/>
      <c r="G712" s="19" t="n"/>
    </row>
    <row r="713">
      <c r="C713" s="52" t="n"/>
      <c r="D713" s="53" t="n"/>
      <c r="F713" s="53" t="n"/>
      <c r="G713" s="19" t="n"/>
    </row>
    <row r="714">
      <c r="C714" s="52" t="n"/>
      <c r="D714" s="53" t="n"/>
      <c r="F714" s="53" t="n"/>
      <c r="G714" s="19" t="n"/>
    </row>
    <row r="715">
      <c r="C715" s="52" t="n"/>
      <c r="D715" s="53" t="n"/>
      <c r="F715" s="53" t="n"/>
      <c r="G715" s="19" t="n"/>
    </row>
    <row r="716">
      <c r="C716" s="52" t="n"/>
      <c r="D716" s="53" t="n"/>
      <c r="F716" s="53" t="n"/>
      <c r="G716" s="19" t="n"/>
    </row>
    <row r="717">
      <c r="C717" s="52" t="n"/>
      <c r="D717" s="53" t="n"/>
      <c r="F717" s="53" t="n"/>
      <c r="G717" s="19" t="n"/>
    </row>
    <row r="718">
      <c r="C718" s="52" t="n"/>
      <c r="D718" s="53" t="n"/>
      <c r="F718" s="53" t="n"/>
      <c r="G718" s="19" t="n"/>
    </row>
    <row r="719">
      <c r="C719" s="52" t="n"/>
      <c r="D719" s="53" t="n"/>
      <c r="F719" s="53" t="n"/>
      <c r="G719" s="19" t="n"/>
    </row>
    <row r="720">
      <c r="C720" s="52" t="n"/>
      <c r="D720" s="53" t="n"/>
      <c r="F720" s="53" t="n"/>
      <c r="G720" s="19" t="n"/>
    </row>
    <row r="721">
      <c r="C721" s="52" t="n"/>
      <c r="D721" s="53" t="n"/>
      <c r="F721" s="53" t="n"/>
      <c r="G721" s="19" t="n"/>
    </row>
    <row r="722">
      <c r="C722" s="52" t="n"/>
      <c r="D722" s="53" t="n"/>
      <c r="F722" s="53" t="n"/>
      <c r="G722" s="19" t="n"/>
    </row>
    <row r="723">
      <c r="C723" s="52" t="n"/>
      <c r="D723" s="53" t="n"/>
      <c r="F723" s="53" t="n"/>
      <c r="G723" s="19" t="n"/>
    </row>
    <row r="724">
      <c r="C724" s="52" t="n"/>
      <c r="D724" s="53" t="n"/>
      <c r="F724" s="53" t="n"/>
      <c r="G724" s="19" t="n"/>
    </row>
    <row r="725">
      <c r="C725" s="52" t="n"/>
      <c r="D725" s="53" t="n"/>
      <c r="F725" s="53" t="n"/>
      <c r="G725" s="19" t="n"/>
    </row>
    <row r="726">
      <c r="C726" s="52" t="n"/>
      <c r="D726" s="53" t="n"/>
      <c r="F726" s="53" t="n"/>
      <c r="G726" s="19" t="n"/>
    </row>
    <row r="727">
      <c r="C727" s="52" t="n"/>
      <c r="D727" s="53" t="n"/>
      <c r="F727" s="53" t="n"/>
      <c r="G727" s="19" t="n"/>
    </row>
    <row r="728">
      <c r="C728" s="52" t="n"/>
      <c r="D728" s="53" t="n"/>
      <c r="F728" s="53" t="n"/>
      <c r="G728" s="19" t="n"/>
    </row>
    <row r="729">
      <c r="C729" s="52" t="n"/>
      <c r="D729" s="53" t="n"/>
      <c r="F729" s="53" t="n"/>
      <c r="G729" s="19" t="n"/>
    </row>
    <row r="730">
      <c r="C730" s="52" t="n"/>
      <c r="D730" s="53" t="n"/>
      <c r="F730" s="53" t="n"/>
      <c r="G730" s="19" t="n"/>
    </row>
    <row r="731">
      <c r="C731" s="52" t="n"/>
      <c r="D731" s="53" t="n"/>
      <c r="F731" s="53" t="n"/>
      <c r="G731" s="19" t="n"/>
    </row>
    <row r="732">
      <c r="C732" s="52" t="n"/>
      <c r="D732" s="53" t="n"/>
      <c r="F732" s="53" t="n"/>
      <c r="G732" s="19" t="n"/>
    </row>
    <row r="733">
      <c r="C733" s="52" t="n"/>
      <c r="D733" s="53" t="n"/>
      <c r="F733" s="53" t="n"/>
      <c r="G733" s="19" t="n"/>
    </row>
    <row r="734">
      <c r="C734" s="52" t="n"/>
      <c r="D734" s="53" t="n"/>
      <c r="F734" s="53" t="n"/>
      <c r="G734" s="19" t="n"/>
    </row>
    <row r="735">
      <c r="C735" s="52" t="n"/>
      <c r="D735" s="53" t="n"/>
      <c r="F735" s="53" t="n"/>
      <c r="G735" s="19" t="n"/>
    </row>
    <row r="736">
      <c r="C736" s="52" t="n"/>
      <c r="D736" s="53" t="n"/>
      <c r="F736" s="53" t="n"/>
      <c r="G736" s="19" t="n"/>
    </row>
    <row r="737">
      <c r="C737" s="52" t="n"/>
      <c r="D737" s="53" t="n"/>
      <c r="F737" s="53" t="n"/>
      <c r="G737" s="19" t="n"/>
    </row>
    <row r="738">
      <c r="C738" s="52" t="n"/>
      <c r="D738" s="53" t="n"/>
      <c r="F738" s="53" t="n"/>
      <c r="G738" s="19" t="n"/>
    </row>
    <row r="739">
      <c r="C739" s="52" t="n"/>
      <c r="D739" s="53" t="n"/>
      <c r="F739" s="53" t="n"/>
      <c r="G739" s="19" t="n"/>
    </row>
    <row r="740">
      <c r="C740" s="52" t="n"/>
      <c r="D740" s="53" t="n"/>
      <c r="F740" s="53" t="n"/>
      <c r="G740" s="19" t="n"/>
    </row>
    <row r="741">
      <c r="C741" s="52" t="n"/>
      <c r="D741" s="53" t="n"/>
      <c r="F741" s="53" t="n"/>
      <c r="G741" s="19" t="n"/>
    </row>
    <row r="742">
      <c r="C742" s="52" t="n"/>
      <c r="D742" s="53" t="n"/>
      <c r="F742" s="53" t="n"/>
      <c r="G742" s="19" t="n"/>
    </row>
    <row r="743">
      <c r="C743" s="52" t="n"/>
      <c r="D743" s="53" t="n"/>
      <c r="F743" s="53" t="n"/>
      <c r="G743" s="19" t="n"/>
    </row>
    <row r="744">
      <c r="C744" s="52" t="n"/>
      <c r="D744" s="53" t="n"/>
      <c r="F744" s="53" t="n"/>
      <c r="G744" s="19" t="n"/>
    </row>
    <row r="745">
      <c r="C745" s="52" t="n"/>
      <c r="D745" s="53" t="n"/>
      <c r="F745" s="53" t="n"/>
      <c r="G745" s="19" t="n"/>
    </row>
    <row r="746">
      <c r="C746" s="52" t="n"/>
      <c r="D746" s="53" t="n"/>
      <c r="F746" s="53" t="n"/>
      <c r="G746" s="19" t="n"/>
    </row>
    <row r="747">
      <c r="C747" s="52" t="n"/>
      <c r="D747" s="53" t="n"/>
      <c r="F747" s="53" t="n"/>
      <c r="G747" s="19" t="n"/>
    </row>
    <row r="748">
      <c r="C748" s="52" t="n"/>
      <c r="D748" s="53" t="n"/>
      <c r="F748" s="53" t="n"/>
      <c r="G748" s="19" t="n"/>
    </row>
    <row r="749">
      <c r="C749" s="52" t="n"/>
      <c r="D749" s="53" t="n"/>
      <c r="F749" s="53" t="n"/>
      <c r="G749" s="19" t="n"/>
    </row>
    <row r="750">
      <c r="C750" s="52" t="n"/>
      <c r="D750" s="53" t="n"/>
      <c r="F750" s="53" t="n"/>
      <c r="G750" s="19" t="n"/>
    </row>
    <row r="751">
      <c r="C751" s="52" t="n"/>
      <c r="D751" s="53" t="n"/>
      <c r="F751" s="53" t="n"/>
      <c r="G751" s="19" t="n"/>
    </row>
    <row r="752">
      <c r="C752" s="52" t="n"/>
      <c r="D752" s="53" t="n"/>
      <c r="F752" s="53" t="n"/>
      <c r="G752" s="19" t="n"/>
    </row>
    <row r="753">
      <c r="C753" s="52" t="n"/>
      <c r="D753" s="53" t="n"/>
      <c r="F753" s="53" t="n"/>
      <c r="G753" s="19" t="n"/>
    </row>
    <row r="754">
      <c r="C754" s="52" t="n"/>
      <c r="D754" s="53" t="n"/>
      <c r="F754" s="53" t="n"/>
      <c r="G754" s="19" t="n"/>
    </row>
    <row r="755">
      <c r="C755" s="52" t="n"/>
      <c r="D755" s="53" t="n"/>
      <c r="F755" s="53" t="n"/>
      <c r="G755" s="19" t="n"/>
    </row>
    <row r="756">
      <c r="C756" s="52" t="n"/>
      <c r="D756" s="53" t="n"/>
      <c r="F756" s="53" t="n"/>
      <c r="G756" s="19" t="n"/>
    </row>
    <row r="757">
      <c r="C757" s="52" t="n"/>
      <c r="D757" s="53" t="n"/>
      <c r="F757" s="53" t="n"/>
      <c r="G757" s="19" t="n"/>
    </row>
    <row r="758">
      <c r="C758" s="52" t="n"/>
      <c r="D758" s="53" t="n"/>
      <c r="F758" s="53" t="n"/>
      <c r="G758" s="19" t="n"/>
    </row>
    <row r="759">
      <c r="C759" s="52" t="n"/>
      <c r="D759" s="53" t="n"/>
      <c r="F759" s="53" t="n"/>
      <c r="G759" s="19" t="n"/>
    </row>
    <row r="760">
      <c r="C760" s="52" t="n"/>
      <c r="D760" s="53" t="n"/>
      <c r="F760" s="53" t="n"/>
      <c r="G760" s="19" t="n"/>
    </row>
    <row r="761">
      <c r="C761" s="52" t="n"/>
      <c r="D761" s="53" t="n"/>
      <c r="F761" s="53" t="n"/>
      <c r="G761" s="19" t="n"/>
    </row>
    <row r="762">
      <c r="C762" s="52" t="n"/>
      <c r="D762" s="53" t="n"/>
      <c r="F762" s="53" t="n"/>
      <c r="G762" s="19" t="n"/>
    </row>
    <row r="763">
      <c r="C763" s="52" t="n"/>
      <c r="D763" s="53" t="n"/>
      <c r="F763" s="53" t="n"/>
      <c r="G763" s="19" t="n"/>
    </row>
    <row r="764">
      <c r="C764" s="52" t="n"/>
      <c r="D764" s="53" t="n"/>
      <c r="F764" s="53" t="n"/>
      <c r="G764" s="19" t="n"/>
    </row>
    <row r="765">
      <c r="C765" s="52" t="n"/>
      <c r="D765" s="53" t="n"/>
      <c r="F765" s="53" t="n"/>
      <c r="G765" s="19" t="n"/>
    </row>
    <row r="766">
      <c r="C766" s="52" t="n"/>
      <c r="D766" s="53" t="n"/>
      <c r="F766" s="53" t="n"/>
      <c r="G766" s="19" t="n"/>
    </row>
    <row r="767">
      <c r="C767" s="52" t="n"/>
      <c r="D767" s="53" t="n"/>
      <c r="F767" s="53" t="n"/>
      <c r="G767" s="19" t="n"/>
    </row>
    <row r="768">
      <c r="C768" s="52" t="n"/>
      <c r="D768" s="53" t="n"/>
      <c r="F768" s="53" t="n"/>
      <c r="G768" s="19" t="n"/>
    </row>
    <row r="769">
      <c r="C769" s="52" t="n"/>
      <c r="D769" s="53" t="n"/>
      <c r="F769" s="53" t="n"/>
      <c r="G769" s="19" t="n"/>
    </row>
    <row r="770">
      <c r="C770" s="52" t="n"/>
      <c r="D770" s="53" t="n"/>
      <c r="F770" s="53" t="n"/>
      <c r="G770" s="19" t="n"/>
    </row>
    <row r="771">
      <c r="C771" s="52" t="n"/>
      <c r="D771" s="53" t="n"/>
      <c r="F771" s="53" t="n"/>
      <c r="G771" s="19" t="n"/>
    </row>
    <row r="772">
      <c r="C772" s="52" t="n"/>
      <c r="D772" s="53" t="n"/>
      <c r="F772" s="53" t="n"/>
      <c r="G772" s="19" t="n"/>
    </row>
    <row r="773">
      <c r="C773" s="52" t="n"/>
      <c r="D773" s="53" t="n"/>
      <c r="F773" s="53" t="n"/>
      <c r="G773" s="19" t="n"/>
    </row>
    <row r="774">
      <c r="C774" s="52" t="n"/>
      <c r="D774" s="53" t="n"/>
      <c r="F774" s="53" t="n"/>
      <c r="G774" s="19" t="n"/>
    </row>
    <row r="775">
      <c r="C775" s="52" t="n"/>
      <c r="D775" s="53" t="n"/>
      <c r="F775" s="53" t="n"/>
      <c r="G775" s="19" t="n"/>
    </row>
    <row r="776">
      <c r="C776" s="52" t="n"/>
      <c r="D776" s="53" t="n"/>
      <c r="F776" s="53" t="n"/>
      <c r="G776" s="19" t="n"/>
    </row>
    <row r="777">
      <c r="C777" s="52" t="n"/>
      <c r="D777" s="53" t="n"/>
      <c r="F777" s="53" t="n"/>
      <c r="G777" s="19" t="n"/>
    </row>
    <row r="778">
      <c r="C778" s="52" t="n"/>
      <c r="D778" s="53" t="n"/>
      <c r="F778" s="53" t="n"/>
      <c r="G778" s="19" t="n"/>
    </row>
    <row r="779">
      <c r="C779" s="52" t="n"/>
      <c r="D779" s="53" t="n"/>
      <c r="F779" s="53" t="n"/>
      <c r="G779" s="19" t="n"/>
    </row>
    <row r="780">
      <c r="C780" s="52" t="n"/>
      <c r="D780" s="53" t="n"/>
      <c r="F780" s="53" t="n"/>
      <c r="G780" s="19" t="n"/>
    </row>
    <row r="781">
      <c r="C781" s="52" t="n"/>
      <c r="D781" s="53" t="n"/>
      <c r="F781" s="53" t="n"/>
      <c r="G781" s="19" t="n"/>
    </row>
    <row r="782">
      <c r="C782" s="52" t="n"/>
      <c r="D782" s="53" t="n"/>
      <c r="F782" s="53" t="n"/>
      <c r="G782" s="19" t="n"/>
    </row>
    <row r="783">
      <c r="C783" s="52" t="n"/>
      <c r="D783" s="53" t="n"/>
      <c r="F783" s="53" t="n"/>
      <c r="G783" s="19" t="n"/>
    </row>
    <row r="784">
      <c r="C784" s="52" t="n"/>
      <c r="D784" s="53" t="n"/>
      <c r="F784" s="53" t="n"/>
      <c r="G784" s="19" t="n"/>
    </row>
    <row r="785">
      <c r="C785" s="52" t="n"/>
      <c r="D785" s="53" t="n"/>
      <c r="F785" s="53" t="n"/>
      <c r="G785" s="19" t="n"/>
    </row>
    <row r="786">
      <c r="C786" s="52" t="n"/>
      <c r="D786" s="53" t="n"/>
      <c r="F786" s="53" t="n"/>
      <c r="G786" s="19" t="n"/>
    </row>
    <row r="787">
      <c r="C787" s="52" t="n"/>
      <c r="D787" s="53" t="n"/>
      <c r="F787" s="53" t="n"/>
      <c r="G787" s="19" t="n"/>
    </row>
    <row r="788">
      <c r="C788" s="52" t="n"/>
      <c r="D788" s="53" t="n"/>
      <c r="F788" s="53" t="n"/>
      <c r="G788" s="19" t="n"/>
    </row>
    <row r="789">
      <c r="C789" s="52" t="n"/>
      <c r="D789" s="53" t="n"/>
      <c r="F789" s="53" t="n"/>
      <c r="G789" s="19" t="n"/>
    </row>
    <row r="790">
      <c r="C790" s="52" t="n"/>
      <c r="D790" s="53" t="n"/>
      <c r="F790" s="53" t="n"/>
      <c r="G790" s="19" t="n"/>
    </row>
    <row r="791">
      <c r="C791" s="52" t="n"/>
      <c r="D791" s="53" t="n"/>
      <c r="F791" s="53" t="n"/>
      <c r="G791" s="19" t="n"/>
    </row>
    <row r="792">
      <c r="C792" s="52" t="n"/>
      <c r="D792" s="53" t="n"/>
      <c r="F792" s="53" t="n"/>
      <c r="G792" s="19" t="n"/>
    </row>
    <row r="793">
      <c r="C793" s="52" t="n"/>
      <c r="D793" s="53" t="n"/>
      <c r="F793" s="53" t="n"/>
      <c r="G793" s="19" t="n"/>
    </row>
    <row r="794">
      <c r="C794" s="52" t="n"/>
      <c r="D794" s="53" t="n"/>
      <c r="F794" s="53" t="n"/>
      <c r="G794" s="19" t="n"/>
    </row>
    <row r="795">
      <c r="C795" s="52" t="n"/>
      <c r="D795" s="53" t="n"/>
      <c r="F795" s="53" t="n"/>
      <c r="G795" s="19" t="n"/>
    </row>
    <row r="796">
      <c r="C796" s="52" t="n"/>
      <c r="D796" s="53" t="n"/>
      <c r="F796" s="53" t="n"/>
      <c r="G796" s="19" t="n"/>
    </row>
    <row r="797">
      <c r="C797" s="52" t="n"/>
      <c r="D797" s="53" t="n"/>
      <c r="F797" s="53" t="n"/>
      <c r="G797" s="19" t="n"/>
    </row>
    <row r="798">
      <c r="C798" s="52" t="n"/>
      <c r="D798" s="53" t="n"/>
      <c r="F798" s="53" t="n"/>
      <c r="G798" s="19" t="n"/>
    </row>
    <row r="799">
      <c r="C799" s="52" t="n"/>
      <c r="D799" s="53" t="n"/>
      <c r="F799" s="53" t="n"/>
      <c r="G799" s="19" t="n"/>
    </row>
    <row r="800">
      <c r="C800" s="52" t="n"/>
      <c r="D800" s="53" t="n"/>
      <c r="F800" s="53" t="n"/>
      <c r="G800" s="19" t="n"/>
    </row>
    <row r="801">
      <c r="C801" s="52" t="n"/>
      <c r="D801" s="53" t="n"/>
      <c r="F801" s="53" t="n"/>
      <c r="G801" s="19" t="n"/>
    </row>
    <row r="802">
      <c r="C802" s="52" t="n"/>
      <c r="D802" s="53" t="n"/>
      <c r="F802" s="53" t="n"/>
      <c r="G802" s="19" t="n"/>
    </row>
    <row r="803">
      <c r="C803" s="52" t="n"/>
      <c r="D803" s="53" t="n"/>
      <c r="F803" s="53" t="n"/>
      <c r="G803" s="19" t="n"/>
    </row>
    <row r="804">
      <c r="C804" s="52" t="n"/>
      <c r="D804" s="53" t="n"/>
      <c r="F804" s="53" t="n"/>
      <c r="G804" s="19" t="n"/>
    </row>
    <row r="805">
      <c r="C805" s="52" t="n"/>
      <c r="D805" s="53" t="n"/>
      <c r="F805" s="53" t="n"/>
      <c r="G805" s="19" t="n"/>
    </row>
    <row r="806">
      <c r="C806" s="52" t="n"/>
      <c r="D806" s="53" t="n"/>
      <c r="F806" s="53" t="n"/>
      <c r="G806" s="19" t="n"/>
    </row>
    <row r="807">
      <c r="C807" s="52" t="n"/>
      <c r="D807" s="53" t="n"/>
      <c r="F807" s="53" t="n"/>
      <c r="G807" s="19" t="n"/>
    </row>
    <row r="808">
      <c r="C808" s="52" t="n"/>
      <c r="D808" s="53" t="n"/>
      <c r="F808" s="53" t="n"/>
      <c r="G808" s="19" t="n"/>
    </row>
    <row r="809">
      <c r="C809" s="52" t="n"/>
      <c r="D809" s="53" t="n"/>
      <c r="F809" s="53" t="n"/>
      <c r="G809" s="19" t="n"/>
    </row>
    <row r="810">
      <c r="C810" s="52" t="n"/>
      <c r="D810" s="53" t="n"/>
      <c r="F810" s="53" t="n"/>
      <c r="G810" s="19" t="n"/>
    </row>
    <row r="811">
      <c r="C811" s="52" t="n"/>
      <c r="D811" s="53" t="n"/>
      <c r="F811" s="53" t="n"/>
      <c r="G811" s="19" t="n"/>
    </row>
    <row r="812">
      <c r="C812" s="52" t="n"/>
      <c r="D812" s="53" t="n"/>
      <c r="F812" s="53" t="n"/>
      <c r="G812" s="19" t="n"/>
    </row>
    <row r="813">
      <c r="C813" s="52" t="n"/>
      <c r="D813" s="53" t="n"/>
      <c r="F813" s="53" t="n"/>
      <c r="G813" s="19" t="n"/>
    </row>
    <row r="814">
      <c r="C814" s="52" t="n"/>
      <c r="D814" s="53" t="n"/>
      <c r="F814" s="53" t="n"/>
      <c r="G814" s="19" t="n"/>
    </row>
    <row r="815">
      <c r="C815" s="52" t="n"/>
      <c r="D815" s="53" t="n"/>
      <c r="F815" s="53" t="n"/>
      <c r="G815" s="19" t="n"/>
    </row>
    <row r="816">
      <c r="C816" s="52" t="n"/>
      <c r="D816" s="53" t="n"/>
      <c r="F816" s="53" t="n"/>
      <c r="G816" s="19" t="n"/>
    </row>
    <row r="817">
      <c r="C817" s="52" t="n"/>
      <c r="D817" s="53" t="n"/>
      <c r="F817" s="53" t="n"/>
      <c r="G817" s="19" t="n"/>
    </row>
    <row r="818">
      <c r="C818" s="52" t="n"/>
      <c r="D818" s="53" t="n"/>
      <c r="F818" s="53" t="n"/>
      <c r="G818" s="19" t="n"/>
    </row>
    <row r="819">
      <c r="C819" s="52" t="n"/>
      <c r="D819" s="53" t="n"/>
      <c r="F819" s="53" t="n"/>
      <c r="G819" s="19" t="n"/>
    </row>
    <row r="820">
      <c r="C820" s="52" t="n"/>
      <c r="D820" s="53" t="n"/>
      <c r="F820" s="53" t="n"/>
      <c r="G820" s="19" t="n"/>
    </row>
    <row r="821">
      <c r="C821" s="52" t="n"/>
      <c r="D821" s="53" t="n"/>
      <c r="F821" s="53" t="n"/>
      <c r="G821" s="19" t="n"/>
    </row>
    <row r="822">
      <c r="C822" s="52" t="n"/>
      <c r="D822" s="53" t="n"/>
      <c r="F822" s="53" t="n"/>
      <c r="G822" s="19" t="n"/>
    </row>
    <row r="823">
      <c r="C823" s="52" t="n"/>
      <c r="D823" s="53" t="n"/>
      <c r="F823" s="53" t="n"/>
      <c r="G823" s="19" t="n"/>
    </row>
    <row r="824">
      <c r="C824" s="52" t="n"/>
      <c r="D824" s="53" t="n"/>
      <c r="F824" s="53" t="n"/>
      <c r="G824" s="19" t="n"/>
    </row>
    <row r="825">
      <c r="C825" s="52" t="n"/>
      <c r="D825" s="53" t="n"/>
      <c r="F825" s="53" t="n"/>
      <c r="G825" s="19" t="n"/>
    </row>
    <row r="826">
      <c r="C826" s="52" t="n"/>
      <c r="D826" s="53" t="n"/>
      <c r="F826" s="53" t="n"/>
      <c r="G826" s="19" t="n"/>
    </row>
    <row r="827">
      <c r="C827" s="52" t="n"/>
      <c r="D827" s="53" t="n"/>
      <c r="F827" s="53" t="n"/>
      <c r="G827" s="19" t="n"/>
    </row>
    <row r="828">
      <c r="C828" s="52" t="n"/>
      <c r="D828" s="53" t="n"/>
      <c r="F828" s="53" t="n"/>
      <c r="G828" s="19" t="n"/>
    </row>
    <row r="829">
      <c r="C829" s="52" t="n"/>
      <c r="D829" s="53" t="n"/>
      <c r="F829" s="53" t="n"/>
      <c r="G829" s="19" t="n"/>
    </row>
    <row r="830">
      <c r="C830" s="52" t="n"/>
      <c r="D830" s="53" t="n"/>
      <c r="F830" s="53" t="n"/>
      <c r="G830" s="19" t="n"/>
    </row>
    <row r="831">
      <c r="C831" s="52" t="n"/>
      <c r="D831" s="53" t="n"/>
      <c r="F831" s="53" t="n"/>
      <c r="G831" s="19" t="n"/>
    </row>
    <row r="832">
      <c r="C832" s="52" t="n"/>
      <c r="D832" s="53" t="n"/>
      <c r="F832" s="53" t="n"/>
      <c r="G832" s="19" t="n"/>
    </row>
    <row r="833">
      <c r="C833" s="52" t="n"/>
      <c r="D833" s="53" t="n"/>
      <c r="F833" s="53" t="n"/>
      <c r="G833" s="19" t="n"/>
    </row>
    <row r="834">
      <c r="C834" s="52" t="n"/>
      <c r="D834" s="53" t="n"/>
      <c r="F834" s="53" t="n"/>
      <c r="G834" s="19" t="n"/>
    </row>
    <row r="835">
      <c r="C835" s="52" t="n"/>
      <c r="D835" s="53" t="n"/>
      <c r="F835" s="53" t="n"/>
      <c r="G835" s="19" t="n"/>
    </row>
    <row r="836">
      <c r="C836" s="52" t="n"/>
      <c r="D836" s="53" t="n"/>
      <c r="F836" s="53" t="n"/>
      <c r="G836" s="19" t="n"/>
    </row>
    <row r="837">
      <c r="C837" s="52" t="n"/>
      <c r="D837" s="53" t="n"/>
      <c r="F837" s="53" t="n"/>
      <c r="G837" s="19" t="n"/>
    </row>
    <row r="838">
      <c r="C838" s="52" t="n"/>
      <c r="D838" s="53" t="n"/>
      <c r="F838" s="53" t="n"/>
      <c r="G838" s="19" t="n"/>
    </row>
    <row r="839">
      <c r="C839" s="52" t="n"/>
      <c r="D839" s="53" t="n"/>
      <c r="F839" s="53" t="n"/>
      <c r="G839" s="19" t="n"/>
    </row>
    <row r="840">
      <c r="C840" s="52" t="n"/>
      <c r="D840" s="53" t="n"/>
      <c r="F840" s="53" t="n"/>
      <c r="G840" s="19" t="n"/>
    </row>
    <row r="841">
      <c r="C841" s="52" t="n"/>
      <c r="D841" s="53" t="n"/>
      <c r="F841" s="53" t="n"/>
      <c r="G841" s="19" t="n"/>
    </row>
    <row r="842">
      <c r="C842" s="52" t="n"/>
      <c r="D842" s="53" t="n"/>
      <c r="F842" s="53" t="n"/>
      <c r="G842" s="19" t="n"/>
    </row>
    <row r="843">
      <c r="C843" s="52" t="n"/>
      <c r="D843" s="53" t="n"/>
      <c r="F843" s="53" t="n"/>
      <c r="G843" s="19" t="n"/>
    </row>
    <row r="844">
      <c r="C844" s="52" t="n"/>
      <c r="D844" s="53" t="n"/>
      <c r="F844" s="53" t="n"/>
      <c r="G844" s="19" t="n"/>
    </row>
    <row r="845">
      <c r="C845" s="52" t="n"/>
      <c r="D845" s="53" t="n"/>
      <c r="F845" s="53" t="n"/>
      <c r="G845" s="19" t="n"/>
    </row>
    <row r="846">
      <c r="C846" s="52" t="n"/>
      <c r="D846" s="53" t="n"/>
      <c r="F846" s="53" t="n"/>
      <c r="G846" s="19" t="n"/>
    </row>
    <row r="847">
      <c r="C847" s="52" t="n"/>
      <c r="D847" s="53" t="n"/>
      <c r="F847" s="53" t="n"/>
      <c r="G847" s="19" t="n"/>
    </row>
    <row r="848">
      <c r="C848" s="52" t="n"/>
      <c r="D848" s="53" t="n"/>
      <c r="F848" s="53" t="n"/>
      <c r="G848" s="19" t="n"/>
    </row>
    <row r="849">
      <c r="C849" s="52" t="n"/>
      <c r="D849" s="53" t="n"/>
      <c r="F849" s="53" t="n"/>
      <c r="G849" s="19" t="n"/>
    </row>
    <row r="850">
      <c r="C850" s="52" t="n"/>
      <c r="D850" s="53" t="n"/>
      <c r="F850" s="53" t="n"/>
      <c r="G850" s="19" t="n"/>
    </row>
    <row r="851">
      <c r="C851" s="52" t="n"/>
      <c r="D851" s="53" t="n"/>
      <c r="F851" s="53" t="n"/>
      <c r="G851" s="19" t="n"/>
    </row>
    <row r="852">
      <c r="C852" s="52" t="n"/>
      <c r="D852" s="53" t="n"/>
      <c r="F852" s="53" t="n"/>
      <c r="G852" s="19" t="n"/>
    </row>
    <row r="853">
      <c r="C853" s="52" t="n"/>
      <c r="D853" s="53" t="n"/>
      <c r="F853" s="53" t="n"/>
      <c r="G853" s="19" t="n"/>
    </row>
    <row r="854">
      <c r="C854" s="52" t="n"/>
      <c r="D854" s="53" t="n"/>
      <c r="F854" s="53" t="n"/>
      <c r="G854" s="19" t="n"/>
    </row>
    <row r="855">
      <c r="C855" s="52" t="n"/>
      <c r="D855" s="53" t="n"/>
      <c r="F855" s="53" t="n"/>
      <c r="G855" s="19" t="n"/>
    </row>
    <row r="856">
      <c r="C856" s="52" t="n"/>
      <c r="D856" s="53" t="n"/>
      <c r="F856" s="53" t="n"/>
      <c r="G856" s="19" t="n"/>
    </row>
    <row r="857">
      <c r="C857" s="52" t="n"/>
      <c r="D857" s="53" t="n"/>
      <c r="F857" s="53" t="n"/>
      <c r="G857" s="19" t="n"/>
    </row>
    <row r="858">
      <c r="C858" s="52" t="n"/>
      <c r="D858" s="53" t="n"/>
      <c r="F858" s="53" t="n"/>
      <c r="G858" s="19" t="n"/>
    </row>
    <row r="859">
      <c r="C859" s="52" t="n"/>
      <c r="D859" s="53" t="n"/>
      <c r="F859" s="53" t="n"/>
      <c r="G859" s="19" t="n"/>
    </row>
    <row r="860">
      <c r="C860" s="52" t="n"/>
      <c r="D860" s="53" t="n"/>
      <c r="F860" s="53" t="n"/>
      <c r="G860" s="19" t="n"/>
    </row>
    <row r="861">
      <c r="C861" s="52" t="n"/>
      <c r="D861" s="53" t="n"/>
      <c r="F861" s="53" t="n"/>
      <c r="G861" s="19" t="n"/>
    </row>
    <row r="862">
      <c r="C862" s="52" t="n"/>
      <c r="D862" s="53" t="n"/>
      <c r="F862" s="53" t="n"/>
      <c r="G862" s="19" t="n"/>
    </row>
    <row r="863">
      <c r="C863" s="52" t="n"/>
      <c r="D863" s="53" t="n"/>
      <c r="F863" s="53" t="n"/>
      <c r="G863" s="19" t="n"/>
    </row>
    <row r="864">
      <c r="C864" s="52" t="n"/>
      <c r="D864" s="53" t="n"/>
      <c r="F864" s="53" t="n"/>
      <c r="G864" s="19" t="n"/>
    </row>
    <row r="865">
      <c r="C865" s="52" t="n"/>
      <c r="D865" s="53" t="n"/>
      <c r="F865" s="53" t="n"/>
      <c r="G865" s="19" t="n"/>
    </row>
    <row r="866">
      <c r="C866" s="52" t="n"/>
      <c r="D866" s="53" t="n"/>
      <c r="F866" s="53" t="n"/>
      <c r="G866" s="19" t="n"/>
    </row>
    <row r="867">
      <c r="C867" s="52" t="n"/>
      <c r="D867" s="53" t="n"/>
      <c r="F867" s="53" t="n"/>
      <c r="G867" s="19" t="n"/>
    </row>
    <row r="868">
      <c r="C868" s="52" t="n"/>
      <c r="D868" s="53" t="n"/>
      <c r="F868" s="53" t="n"/>
      <c r="G868" s="19" t="n"/>
    </row>
    <row r="869">
      <c r="C869" s="52" t="n"/>
      <c r="D869" s="53" t="n"/>
      <c r="F869" s="53" t="n"/>
      <c r="G869" s="19" t="n"/>
    </row>
    <row r="870">
      <c r="C870" s="52" t="n"/>
      <c r="D870" s="53" t="n"/>
      <c r="F870" s="53" t="n"/>
      <c r="G870" s="19" t="n"/>
    </row>
    <row r="871">
      <c r="C871" s="52" t="n"/>
      <c r="D871" s="53" t="n"/>
      <c r="F871" s="53" t="n"/>
      <c r="G871" s="19" t="n"/>
    </row>
    <row r="872">
      <c r="C872" s="52" t="n"/>
      <c r="D872" s="53" t="n"/>
      <c r="F872" s="53" t="n"/>
      <c r="G872" s="19" t="n"/>
    </row>
    <row r="873">
      <c r="C873" s="52" t="n"/>
      <c r="D873" s="53" t="n"/>
      <c r="F873" s="53" t="n"/>
      <c r="G873" s="19" t="n"/>
    </row>
    <row r="874">
      <c r="C874" s="52" t="n"/>
      <c r="D874" s="53" t="n"/>
      <c r="F874" s="53" t="n"/>
      <c r="G874" s="19" t="n"/>
    </row>
    <row r="875">
      <c r="C875" s="52" t="n"/>
      <c r="D875" s="53" t="n"/>
      <c r="F875" s="53" t="n"/>
      <c r="G875" s="19" t="n"/>
    </row>
    <row r="876">
      <c r="C876" s="52" t="n"/>
      <c r="D876" s="53" t="n"/>
      <c r="F876" s="53" t="n"/>
      <c r="G876" s="19" t="n"/>
    </row>
    <row r="877">
      <c r="C877" s="52" t="n"/>
      <c r="D877" s="53" t="n"/>
      <c r="F877" s="53" t="n"/>
      <c r="G877" s="19" t="n"/>
    </row>
    <row r="878">
      <c r="C878" s="52" t="n"/>
      <c r="D878" s="53" t="n"/>
      <c r="F878" s="53" t="n"/>
      <c r="G878" s="19" t="n"/>
    </row>
    <row r="879">
      <c r="C879" s="52" t="n"/>
      <c r="D879" s="53" t="n"/>
      <c r="F879" s="53" t="n"/>
      <c r="G879" s="19" t="n"/>
    </row>
    <row r="880">
      <c r="C880" s="52" t="n"/>
      <c r="D880" s="53" t="n"/>
      <c r="F880" s="53" t="n"/>
      <c r="G880" s="19" t="n"/>
    </row>
    <row r="881">
      <c r="C881" s="52" t="n"/>
      <c r="D881" s="53" t="n"/>
      <c r="F881" s="53" t="n"/>
      <c r="G881" s="19" t="n"/>
    </row>
    <row r="882">
      <c r="C882" s="52" t="n"/>
      <c r="D882" s="53" t="n"/>
      <c r="F882" s="53" t="n"/>
      <c r="G882" s="19" t="n"/>
    </row>
    <row r="883">
      <c r="C883" s="52" t="n"/>
      <c r="D883" s="53" t="n"/>
      <c r="F883" s="53" t="n"/>
      <c r="G883" s="19" t="n"/>
    </row>
    <row r="884">
      <c r="C884" s="52" t="n"/>
      <c r="D884" s="53" t="n"/>
      <c r="F884" s="53" t="n"/>
      <c r="G884" s="19" t="n"/>
    </row>
    <row r="885">
      <c r="C885" s="52" t="n"/>
      <c r="D885" s="53" t="n"/>
      <c r="F885" s="53" t="n"/>
      <c r="G885" s="19" t="n"/>
    </row>
    <row r="886">
      <c r="C886" s="52" t="n"/>
      <c r="D886" s="53" t="n"/>
      <c r="F886" s="53" t="n"/>
      <c r="G886" s="19" t="n"/>
    </row>
    <row r="887">
      <c r="C887" s="52" t="n"/>
      <c r="D887" s="53" t="n"/>
      <c r="F887" s="53" t="n"/>
      <c r="G887" s="19" t="n"/>
    </row>
    <row r="888">
      <c r="C888" s="52" t="n"/>
      <c r="D888" s="53" t="n"/>
      <c r="F888" s="53" t="n"/>
      <c r="G888" s="19" t="n"/>
    </row>
    <row r="889">
      <c r="C889" s="52" t="n"/>
      <c r="D889" s="53" t="n"/>
      <c r="F889" s="53" t="n"/>
      <c r="G889" s="19" t="n"/>
    </row>
    <row r="890">
      <c r="C890" s="52" t="n"/>
      <c r="D890" s="53" t="n"/>
      <c r="F890" s="53" t="n"/>
      <c r="G890" s="19" t="n"/>
    </row>
    <row r="891">
      <c r="C891" s="52" t="n"/>
      <c r="D891" s="53" t="n"/>
      <c r="F891" s="53" t="n"/>
      <c r="G891" s="19" t="n"/>
    </row>
    <row r="892">
      <c r="C892" s="52" t="n"/>
      <c r="D892" s="53" t="n"/>
      <c r="F892" s="53" t="n"/>
      <c r="G892" s="19" t="n"/>
    </row>
    <row r="893">
      <c r="C893" s="52" t="n"/>
      <c r="D893" s="53" t="n"/>
      <c r="F893" s="53" t="n"/>
      <c r="G893" s="19" t="n"/>
    </row>
    <row r="894">
      <c r="C894" s="52" t="n"/>
      <c r="D894" s="53" t="n"/>
      <c r="F894" s="53" t="n"/>
      <c r="G894" s="19" t="n"/>
    </row>
    <row r="895">
      <c r="C895" s="52" t="n"/>
      <c r="D895" s="53" t="n"/>
      <c r="F895" s="53" t="n"/>
      <c r="G895" s="19" t="n"/>
    </row>
    <row r="896">
      <c r="C896" s="52" t="n"/>
      <c r="D896" s="53" t="n"/>
      <c r="F896" s="53" t="n"/>
      <c r="G896" s="19" t="n"/>
    </row>
    <row r="897">
      <c r="C897" s="52" t="n"/>
      <c r="D897" s="53" t="n"/>
      <c r="F897" s="53" t="n"/>
      <c r="G897" s="19" t="n"/>
    </row>
    <row r="898">
      <c r="C898" s="52" t="n"/>
      <c r="D898" s="53" t="n"/>
      <c r="F898" s="53" t="n"/>
      <c r="G898" s="19" t="n"/>
    </row>
    <row r="899">
      <c r="C899" s="52" t="n"/>
      <c r="D899" s="53" t="n"/>
      <c r="F899" s="53" t="n"/>
      <c r="G899" s="19" t="n"/>
    </row>
    <row r="900">
      <c r="C900" s="52" t="n"/>
      <c r="D900" s="53" t="n"/>
      <c r="F900" s="53" t="n"/>
      <c r="G900" s="19" t="n"/>
    </row>
    <row r="901">
      <c r="C901" s="52" t="n"/>
      <c r="D901" s="53" t="n"/>
      <c r="F901" s="53" t="n"/>
      <c r="G901" s="19" t="n"/>
    </row>
    <row r="902">
      <c r="C902" s="52" t="n"/>
      <c r="D902" s="53" t="n"/>
      <c r="F902" s="53" t="n"/>
      <c r="G902" s="19" t="n"/>
    </row>
    <row r="903">
      <c r="C903" s="52" t="n"/>
      <c r="D903" s="53" t="n"/>
      <c r="F903" s="53" t="n"/>
      <c r="G903" s="19" t="n"/>
    </row>
    <row r="904">
      <c r="C904" s="52" t="n"/>
      <c r="D904" s="53" t="n"/>
      <c r="F904" s="53" t="n"/>
      <c r="G904" s="19" t="n"/>
    </row>
    <row r="905">
      <c r="C905" s="52" t="n"/>
      <c r="D905" s="53" t="n"/>
      <c r="F905" s="53" t="n"/>
      <c r="G905" s="19" t="n"/>
    </row>
    <row r="906">
      <c r="C906" s="52" t="n"/>
      <c r="D906" s="53" t="n"/>
      <c r="F906" s="53" t="n"/>
      <c r="G906" s="19" t="n"/>
    </row>
    <row r="907">
      <c r="C907" s="52" t="n"/>
      <c r="D907" s="53" t="n"/>
      <c r="F907" s="53" t="n"/>
      <c r="G907" s="19" t="n"/>
    </row>
    <row r="908">
      <c r="C908" s="52" t="n"/>
      <c r="D908" s="53" t="n"/>
      <c r="F908" s="53" t="n"/>
      <c r="G908" s="19" t="n"/>
    </row>
    <row r="909">
      <c r="C909" s="52" t="n"/>
      <c r="D909" s="53" t="n"/>
      <c r="F909" s="53" t="n"/>
      <c r="G909" s="19" t="n"/>
    </row>
    <row r="910">
      <c r="C910" s="52" t="n"/>
      <c r="D910" s="53" t="n"/>
      <c r="F910" s="53" t="n"/>
      <c r="G910" s="19" t="n"/>
    </row>
    <row r="911">
      <c r="C911" s="52" t="n"/>
      <c r="D911" s="53" t="n"/>
      <c r="F911" s="53" t="n"/>
      <c r="G911" s="19" t="n"/>
    </row>
    <row r="912">
      <c r="C912" s="52" t="n"/>
      <c r="D912" s="53" t="n"/>
      <c r="F912" s="53" t="n"/>
      <c r="G912" s="19" t="n"/>
    </row>
    <row r="913">
      <c r="C913" s="52" t="n"/>
      <c r="D913" s="53" t="n"/>
      <c r="F913" s="53" t="n"/>
      <c r="G913" s="19" t="n"/>
    </row>
    <row r="914">
      <c r="C914" s="52" t="n"/>
      <c r="D914" s="53" t="n"/>
      <c r="F914" s="53" t="n"/>
      <c r="G914" s="19" t="n"/>
    </row>
    <row r="915">
      <c r="C915" s="52" t="n"/>
      <c r="D915" s="53" t="n"/>
      <c r="F915" s="53" t="n"/>
      <c r="G915" s="19" t="n"/>
    </row>
    <row r="916">
      <c r="C916" s="52" t="n"/>
      <c r="D916" s="53" t="n"/>
      <c r="F916" s="53" t="n"/>
      <c r="G916" s="19" t="n"/>
    </row>
    <row r="917">
      <c r="C917" s="52" t="n"/>
      <c r="D917" s="53" t="n"/>
      <c r="F917" s="53" t="n"/>
      <c r="G917" s="19" t="n"/>
    </row>
    <row r="918">
      <c r="C918" s="52" t="n"/>
      <c r="D918" s="53" t="n"/>
      <c r="F918" s="53" t="n"/>
      <c r="G918" s="19" t="n"/>
    </row>
    <row r="919">
      <c r="C919" s="52" t="n"/>
      <c r="D919" s="53" t="n"/>
      <c r="F919" s="53" t="n"/>
      <c r="G919" s="19" t="n"/>
    </row>
    <row r="920">
      <c r="C920" s="52" t="n"/>
      <c r="D920" s="53" t="n"/>
      <c r="F920" s="53" t="n"/>
      <c r="G920" s="19" t="n"/>
    </row>
    <row r="921">
      <c r="C921" s="52" t="n"/>
      <c r="D921" s="53" t="n"/>
      <c r="F921" s="53" t="n"/>
      <c r="G921" s="19" t="n"/>
    </row>
    <row r="922">
      <c r="C922" s="52" t="n"/>
      <c r="D922" s="53" t="n"/>
      <c r="F922" s="53" t="n"/>
      <c r="G922" s="19" t="n"/>
    </row>
    <row r="923">
      <c r="C923" s="52" t="n"/>
      <c r="D923" s="53" t="n"/>
      <c r="F923" s="53" t="n"/>
      <c r="G923" s="19" t="n"/>
    </row>
    <row r="924">
      <c r="C924" s="52" t="n"/>
      <c r="D924" s="53" t="n"/>
      <c r="F924" s="53" t="n"/>
      <c r="G924" s="19" t="n"/>
    </row>
    <row r="925">
      <c r="C925" s="52" t="n"/>
      <c r="D925" s="53" t="n"/>
      <c r="F925" s="53" t="n"/>
      <c r="G925" s="19" t="n"/>
    </row>
    <row r="926">
      <c r="C926" s="52" t="n"/>
      <c r="D926" s="53" t="n"/>
      <c r="F926" s="53" t="n"/>
      <c r="G926" s="19" t="n"/>
    </row>
    <row r="927">
      <c r="C927" s="52" t="n"/>
      <c r="D927" s="53" t="n"/>
      <c r="F927" s="53" t="n"/>
      <c r="G927" s="19" t="n"/>
    </row>
    <row r="928">
      <c r="C928" s="52" t="n"/>
      <c r="D928" s="53" t="n"/>
      <c r="F928" s="53" t="n"/>
      <c r="G928" s="19" t="n"/>
    </row>
    <row r="929">
      <c r="C929" s="52" t="n"/>
      <c r="D929" s="53" t="n"/>
      <c r="F929" s="53" t="n"/>
      <c r="G929" s="19" t="n"/>
    </row>
    <row r="930">
      <c r="C930" s="52" t="n"/>
      <c r="D930" s="53" t="n"/>
      <c r="F930" s="53" t="n"/>
      <c r="G930" s="19" t="n"/>
    </row>
    <row r="931">
      <c r="C931" s="52" t="n"/>
      <c r="D931" s="53" t="n"/>
      <c r="F931" s="53" t="n"/>
      <c r="G931" s="19" t="n"/>
    </row>
    <row r="932">
      <c r="C932" s="52" t="n"/>
      <c r="D932" s="53" t="n"/>
      <c r="F932" s="53" t="n"/>
      <c r="G932" s="19" t="n"/>
    </row>
    <row r="933">
      <c r="C933" s="52" t="n"/>
      <c r="D933" s="53" t="n"/>
      <c r="F933" s="53" t="n"/>
      <c r="G933" s="19" t="n"/>
    </row>
    <row r="934">
      <c r="C934" s="52" t="n"/>
      <c r="D934" s="53" t="n"/>
      <c r="F934" s="53" t="n"/>
      <c r="G934" s="19" t="n"/>
    </row>
    <row r="935">
      <c r="C935" s="52" t="n"/>
      <c r="D935" s="53" t="n"/>
      <c r="F935" s="53" t="n"/>
      <c r="G935" s="19" t="n"/>
    </row>
    <row r="936">
      <c r="C936" s="52" t="n"/>
      <c r="D936" s="53" t="n"/>
      <c r="F936" s="53" t="n"/>
      <c r="G936" s="19" t="n"/>
    </row>
    <row r="937">
      <c r="C937" s="52" t="n"/>
      <c r="D937" s="53" t="n"/>
      <c r="F937" s="53" t="n"/>
      <c r="G937" s="19" t="n"/>
    </row>
    <row r="938">
      <c r="C938" s="52" t="n"/>
      <c r="D938" s="53" t="n"/>
      <c r="F938" s="53" t="n"/>
      <c r="G938" s="19" t="n"/>
    </row>
    <row r="939">
      <c r="C939" s="52" t="n"/>
      <c r="D939" s="53" t="n"/>
      <c r="F939" s="53" t="n"/>
      <c r="G939" s="19" t="n"/>
    </row>
    <row r="940">
      <c r="C940" s="52" t="n"/>
      <c r="D940" s="53" t="n"/>
      <c r="F940" s="53" t="n"/>
      <c r="G940" s="19" t="n"/>
    </row>
    <row r="941">
      <c r="C941" s="52" t="n"/>
      <c r="D941" s="53" t="n"/>
      <c r="F941" s="53" t="n"/>
      <c r="G941" s="19" t="n"/>
    </row>
    <row r="942">
      <c r="C942" s="52" t="n"/>
      <c r="D942" s="53" t="n"/>
      <c r="F942" s="53" t="n"/>
      <c r="G942" s="19" t="n"/>
    </row>
    <row r="943">
      <c r="C943" s="52" t="n"/>
      <c r="D943" s="53" t="n"/>
      <c r="F943" s="53" t="n"/>
      <c r="G943" s="19" t="n"/>
    </row>
    <row r="944">
      <c r="C944" s="52" t="n"/>
      <c r="D944" s="53" t="n"/>
      <c r="F944" s="53" t="n"/>
      <c r="G944" s="19" t="n"/>
    </row>
    <row r="945">
      <c r="C945" s="52" t="n"/>
      <c r="D945" s="53" t="n"/>
      <c r="F945" s="53" t="n"/>
      <c r="G945" s="19" t="n"/>
    </row>
    <row r="946">
      <c r="C946" s="52" t="n"/>
      <c r="D946" s="53" t="n"/>
      <c r="F946" s="53" t="n"/>
      <c r="G946" s="19" t="n"/>
    </row>
    <row r="947">
      <c r="C947" s="52" t="n"/>
      <c r="D947" s="53" t="n"/>
      <c r="F947" s="53" t="n"/>
      <c r="G947" s="19" t="n"/>
    </row>
    <row r="948">
      <c r="C948" s="52" t="n"/>
      <c r="D948" s="53" t="n"/>
      <c r="F948" s="53" t="n"/>
      <c r="G948" s="19" t="n"/>
    </row>
    <row r="949">
      <c r="C949" s="52" t="n"/>
      <c r="D949" s="53" t="n"/>
      <c r="F949" s="53" t="n"/>
      <c r="G949" s="19" t="n"/>
    </row>
    <row r="950">
      <c r="C950" s="52" t="n"/>
      <c r="D950" s="53" t="n"/>
      <c r="F950" s="53" t="n"/>
      <c r="G950" s="19" t="n"/>
    </row>
    <row r="951">
      <c r="C951" s="52" t="n"/>
      <c r="D951" s="53" t="n"/>
      <c r="F951" s="53" t="n"/>
      <c r="G951" s="19" t="n"/>
    </row>
    <row r="952">
      <c r="C952" s="52" t="n"/>
      <c r="D952" s="53" t="n"/>
      <c r="F952" s="53" t="n"/>
      <c r="G952" s="19" t="n"/>
    </row>
    <row r="953">
      <c r="C953" s="52" t="n"/>
      <c r="D953" s="53" t="n"/>
      <c r="F953" s="53" t="n"/>
      <c r="G953" s="19" t="n"/>
    </row>
    <row r="954">
      <c r="C954" s="52" t="n"/>
      <c r="D954" s="53" t="n"/>
      <c r="F954" s="53" t="n"/>
      <c r="G954" s="19" t="n"/>
    </row>
    <row r="955">
      <c r="C955" s="52" t="n"/>
      <c r="D955" s="53" t="n"/>
      <c r="F955" s="53" t="n"/>
      <c r="G955" s="19" t="n"/>
    </row>
    <row r="956">
      <c r="C956" s="52" t="n"/>
      <c r="D956" s="53" t="n"/>
      <c r="F956" s="53" t="n"/>
      <c r="G956" s="19" t="n"/>
    </row>
    <row r="957">
      <c r="C957" s="52" t="n"/>
      <c r="D957" s="53" t="n"/>
      <c r="F957" s="53" t="n"/>
      <c r="G957" s="19" t="n"/>
    </row>
    <row r="958">
      <c r="C958" s="52" t="n"/>
      <c r="D958" s="53" t="n"/>
      <c r="F958" s="53" t="n"/>
      <c r="G958" s="19" t="n"/>
    </row>
    <row r="959">
      <c r="C959" s="52" t="n"/>
      <c r="D959" s="53" t="n"/>
      <c r="F959" s="53" t="n"/>
      <c r="G959" s="19" t="n"/>
    </row>
    <row r="960">
      <c r="C960" s="52" t="n"/>
      <c r="D960" s="53" t="n"/>
      <c r="F960" s="53" t="n"/>
      <c r="G960" s="19" t="n"/>
    </row>
    <row r="961">
      <c r="C961" s="52" t="n"/>
      <c r="D961" s="53" t="n"/>
      <c r="F961" s="53" t="n"/>
      <c r="G961" s="19" t="n"/>
    </row>
    <row r="962">
      <c r="C962" s="52" t="n"/>
      <c r="D962" s="53" t="n"/>
      <c r="F962" s="53" t="n"/>
      <c r="G962" s="19" t="n"/>
    </row>
    <row r="963">
      <c r="C963" s="52" t="n"/>
      <c r="D963" s="53" t="n"/>
      <c r="F963" s="53" t="n"/>
      <c r="G963" s="19" t="n"/>
    </row>
    <row r="964">
      <c r="C964" s="52" t="n"/>
      <c r="D964" s="53" t="n"/>
      <c r="F964" s="53" t="n"/>
      <c r="G964" s="19" t="n"/>
    </row>
    <row r="965">
      <c r="C965" s="52" t="n"/>
      <c r="D965" s="53" t="n"/>
      <c r="F965" s="53" t="n"/>
      <c r="G965" s="19" t="n"/>
    </row>
    <row r="966">
      <c r="C966" s="52" t="n"/>
      <c r="D966" s="53" t="n"/>
      <c r="F966" s="53" t="n"/>
      <c r="G966" s="19" t="n"/>
    </row>
    <row r="967">
      <c r="C967" s="52" t="n"/>
      <c r="D967" s="53" t="n"/>
      <c r="F967" s="53" t="n"/>
      <c r="G967" s="19" t="n"/>
    </row>
    <row r="968">
      <c r="C968" s="52" t="n"/>
      <c r="D968" s="53" t="n"/>
      <c r="F968" s="53" t="n"/>
      <c r="G968" s="19" t="n"/>
    </row>
    <row r="969">
      <c r="C969" s="52" t="n"/>
      <c r="D969" s="53" t="n"/>
      <c r="F969" s="53" t="n"/>
      <c r="G969" s="19" t="n"/>
    </row>
    <row r="970">
      <c r="C970" s="52" t="n"/>
      <c r="D970" s="53" t="n"/>
      <c r="F970" s="53" t="n"/>
      <c r="G970" s="19" t="n"/>
    </row>
    <row r="971">
      <c r="C971" s="52" t="n"/>
      <c r="D971" s="53" t="n"/>
      <c r="F971" s="53" t="n"/>
      <c r="G971" s="19" t="n"/>
    </row>
    <row r="972">
      <c r="C972" s="52" t="n"/>
      <c r="D972" s="53" t="n"/>
      <c r="F972" s="53" t="n"/>
      <c r="G972" s="19" t="n"/>
    </row>
    <row r="973">
      <c r="C973" s="52" t="n"/>
      <c r="D973" s="53" t="n"/>
      <c r="F973" s="53" t="n"/>
      <c r="G973" s="19" t="n"/>
    </row>
    <row r="974">
      <c r="C974" s="52" t="n"/>
      <c r="D974" s="53" t="n"/>
      <c r="F974" s="53" t="n"/>
      <c r="G974" s="19" t="n"/>
    </row>
    <row r="975">
      <c r="C975" s="52" t="n"/>
      <c r="D975" s="53" t="n"/>
      <c r="F975" s="53" t="n"/>
      <c r="G975" s="19" t="n"/>
    </row>
    <row r="976">
      <c r="C976" s="52" t="n"/>
      <c r="D976" s="53" t="n"/>
      <c r="F976" s="53" t="n"/>
      <c r="G976" s="19" t="n"/>
    </row>
    <row r="977">
      <c r="C977" s="52" t="n"/>
      <c r="D977" s="53" t="n"/>
      <c r="F977" s="53" t="n"/>
      <c r="G977" s="19" t="n"/>
    </row>
    <row r="978">
      <c r="C978" s="52" t="n"/>
      <c r="D978" s="53" t="n"/>
      <c r="F978" s="53" t="n"/>
      <c r="G978" s="19" t="n"/>
    </row>
    <row r="979">
      <c r="C979" s="52" t="n"/>
      <c r="D979" s="53" t="n"/>
      <c r="F979" s="53" t="n"/>
      <c r="G979" s="19" t="n"/>
    </row>
    <row r="980">
      <c r="C980" s="52" t="n"/>
      <c r="D980" s="53" t="n"/>
      <c r="F980" s="53" t="n"/>
      <c r="G980" s="19" t="n"/>
    </row>
    <row r="981">
      <c r="C981" s="52" t="n"/>
      <c r="D981" s="53" t="n"/>
      <c r="F981" s="53" t="n"/>
      <c r="G981" s="19" t="n"/>
    </row>
    <row r="982">
      <c r="C982" s="52" t="n"/>
      <c r="D982" s="53" t="n"/>
      <c r="F982" s="53" t="n"/>
      <c r="G982" s="19" t="n"/>
    </row>
    <row r="983">
      <c r="C983" s="52" t="n"/>
      <c r="D983" s="53" t="n"/>
      <c r="F983" s="53" t="n"/>
      <c r="G983" s="19" t="n"/>
    </row>
    <row r="984">
      <c r="C984" s="52" t="n"/>
      <c r="D984" s="53" t="n"/>
      <c r="F984" s="53" t="n"/>
      <c r="G984" s="19" t="n"/>
    </row>
    <row r="985">
      <c r="C985" s="52" t="n"/>
      <c r="D985" s="53" t="n"/>
      <c r="F985" s="53" t="n"/>
      <c r="G985" s="19" t="n"/>
    </row>
    <row r="986">
      <c r="C986" s="52" t="n"/>
      <c r="D986" s="53" t="n"/>
      <c r="F986" s="53" t="n"/>
      <c r="G986" s="19" t="n"/>
    </row>
    <row r="987">
      <c r="C987" s="52" t="n"/>
      <c r="D987" s="53" t="n"/>
      <c r="F987" s="53" t="n"/>
      <c r="G987" s="19" t="n"/>
    </row>
    <row r="988">
      <c r="C988" s="52" t="n"/>
      <c r="D988" s="53" t="n"/>
      <c r="F988" s="53" t="n"/>
      <c r="G988" s="19" t="n"/>
    </row>
    <row r="989">
      <c r="C989" s="52" t="n"/>
      <c r="D989" s="53" t="n"/>
      <c r="F989" s="53" t="n"/>
      <c r="G989" s="19" t="n"/>
    </row>
    <row r="990">
      <c r="C990" s="52" t="n"/>
      <c r="D990" s="53" t="n"/>
      <c r="F990" s="53" t="n"/>
      <c r="G990" s="19" t="n"/>
    </row>
    <row r="991">
      <c r="C991" s="52" t="n"/>
      <c r="D991" s="53" t="n"/>
      <c r="F991" s="53" t="n"/>
      <c r="G991" s="19" t="n"/>
    </row>
    <row r="992">
      <c r="C992" s="52" t="n"/>
      <c r="D992" s="53" t="n"/>
      <c r="F992" s="53" t="n"/>
      <c r="G992" s="19" t="n"/>
    </row>
    <row r="993">
      <c r="C993" s="52" t="n"/>
      <c r="D993" s="53" t="n"/>
      <c r="F993" s="53" t="n"/>
      <c r="G993" s="19" t="n"/>
    </row>
    <row r="994">
      <c r="C994" s="52" t="n"/>
      <c r="D994" s="53" t="n"/>
      <c r="F994" s="53" t="n"/>
      <c r="G994" s="19" t="n"/>
    </row>
    <row r="995">
      <c r="C995" s="52" t="n"/>
      <c r="D995" s="53" t="n"/>
      <c r="F995" s="53" t="n"/>
      <c r="G995" s="19" t="n"/>
    </row>
    <row r="996">
      <c r="C996" s="52" t="n"/>
      <c r="D996" s="53" t="n"/>
      <c r="F996" s="53" t="n"/>
      <c r="G996" s="19" t="n"/>
    </row>
    <row r="997">
      <c r="C997" s="52" t="n"/>
      <c r="D997" s="53" t="n"/>
      <c r="F997" s="53" t="n"/>
      <c r="G997" s="19" t="n"/>
    </row>
    <row r="998">
      <c r="C998" s="52" t="n"/>
      <c r="D998" s="53" t="n"/>
      <c r="F998" s="53" t="n"/>
      <c r="G998" s="19" t="n"/>
    </row>
    <row r="999">
      <c r="C999" s="52" t="n"/>
      <c r="D999" s="53" t="n"/>
      <c r="F999" s="53" t="n"/>
      <c r="G999" s="19" t="n"/>
    </row>
    <row r="1000">
      <c r="C1000" s="52" t="n"/>
      <c r="D1000" s="53" t="n"/>
      <c r="F1000" s="53" t="n"/>
      <c r="G1000" s="19" t="n"/>
    </row>
    <row r="1001">
      <c r="C1001" s="52" t="n"/>
      <c r="D1001" s="53" t="n"/>
      <c r="F1001" s="53" t="n"/>
      <c r="G1001" s="19" t="n"/>
    </row>
    <row r="1002">
      <c r="C1002" s="52" t="n"/>
      <c r="D1002" s="53" t="n"/>
      <c r="F1002" s="53" t="n"/>
      <c r="G1002" s="19" t="n"/>
    </row>
    <row r="1003">
      <c r="C1003" s="52" t="n"/>
      <c r="D1003" s="53" t="n"/>
      <c r="F1003" s="53" t="n"/>
      <c r="G1003" s="19" t="n"/>
    </row>
    <row r="1004">
      <c r="C1004" s="52" t="n"/>
      <c r="D1004" s="53" t="n"/>
      <c r="F1004" s="53" t="n"/>
      <c r="G1004" s="19" t="n"/>
    </row>
    <row r="1005">
      <c r="C1005" s="52" t="n"/>
      <c r="D1005" s="53" t="n"/>
      <c r="F1005" s="53" t="n"/>
      <c r="G1005" s="19" t="n"/>
    </row>
    <row r="1006">
      <c r="C1006" s="52" t="n"/>
      <c r="D1006" s="53" t="n"/>
      <c r="F1006" s="53" t="n"/>
      <c r="G1006" s="19" t="n"/>
    </row>
    <row r="1007">
      <c r="C1007" s="52" t="n"/>
      <c r="D1007" s="53" t="n"/>
      <c r="F1007" s="53" t="n"/>
      <c r="G1007" s="19" t="n"/>
    </row>
    <row r="1008">
      <c r="C1008" s="52" t="n"/>
      <c r="D1008" s="53" t="n"/>
      <c r="F1008" s="53" t="n"/>
      <c r="G1008" s="19" t="n"/>
    </row>
    <row r="1009">
      <c r="C1009" s="52" t="n"/>
      <c r="D1009" s="53" t="n"/>
      <c r="F1009" s="53" t="n"/>
      <c r="G1009" s="19" t="n"/>
    </row>
    <row r="1010">
      <c r="C1010" s="52" t="n"/>
      <c r="D1010" s="53" t="n"/>
      <c r="F1010" s="53" t="n"/>
      <c r="G1010" s="19" t="n"/>
    </row>
    <row r="1011">
      <c r="C1011" s="52" t="n"/>
      <c r="D1011" s="53" t="n"/>
      <c r="F1011" s="53" t="n"/>
      <c r="G1011" s="19" t="n"/>
    </row>
    <row r="1012">
      <c r="C1012" s="52" t="n"/>
      <c r="D1012" s="53" t="n"/>
      <c r="F1012" s="53" t="n"/>
      <c r="G1012" s="19" t="n"/>
    </row>
    <row r="1013">
      <c r="C1013" s="52" t="n"/>
      <c r="D1013" s="53" t="n"/>
      <c r="F1013" s="53" t="n"/>
      <c r="G1013" s="19" t="n"/>
    </row>
    <row r="1014">
      <c r="C1014" s="52" t="n"/>
      <c r="D1014" s="53" t="n"/>
      <c r="F1014" s="53" t="n"/>
      <c r="G1014" s="19" t="n"/>
    </row>
    <row r="1015">
      <c r="C1015" s="52" t="n"/>
      <c r="D1015" s="53" t="n"/>
      <c r="F1015" s="53" t="n"/>
      <c r="G1015" s="19" t="n"/>
    </row>
    <row r="1016">
      <c r="C1016" s="52" t="n"/>
      <c r="D1016" s="53" t="n"/>
      <c r="F1016" s="53" t="n"/>
      <c r="G1016" s="19" t="n"/>
    </row>
    <row r="1017">
      <c r="C1017" s="52" t="n"/>
      <c r="D1017" s="53" t="n"/>
      <c r="F1017" s="53" t="n"/>
      <c r="G1017" s="19" t="n"/>
    </row>
    <row r="1018">
      <c r="C1018" s="52" t="n"/>
      <c r="D1018" s="53" t="n"/>
      <c r="F1018" s="53" t="n"/>
      <c r="G1018" s="19" t="n"/>
    </row>
  </sheetData>
  <mergeCells count="13">
    <mergeCell ref="A46:A55"/>
    <mergeCell ref="A56:A60"/>
    <mergeCell ref="A35:A45"/>
    <mergeCell ref="A61:A67"/>
    <mergeCell ref="A16:A34"/>
    <mergeCell ref="B2:B15"/>
    <mergeCell ref="A68:A73"/>
    <mergeCell ref="B61:B67"/>
    <mergeCell ref="B68:B73"/>
    <mergeCell ref="A2:A15"/>
    <mergeCell ref="B46:B60"/>
    <mergeCell ref="B16:B34"/>
    <mergeCell ref="B35:B45"/>
  </mergeCells>
  <hyperlinks>
    <hyperlink xmlns:r="http://schemas.openxmlformats.org/officeDocument/2006/relationships" ref="A1" r:id="rId1"/>
    <hyperlink xmlns:r="http://schemas.openxmlformats.org/officeDocument/2006/relationships" ref="C2" r:id="rId2"/>
    <hyperlink xmlns:r="http://schemas.openxmlformats.org/officeDocument/2006/relationships" ref="C3" r:id="rId3"/>
    <hyperlink xmlns:r="http://schemas.openxmlformats.org/officeDocument/2006/relationships" ref="C4" r:id="rId4"/>
    <hyperlink xmlns:r="http://schemas.openxmlformats.org/officeDocument/2006/relationships" ref="C5" r:id="rId5"/>
    <hyperlink xmlns:r="http://schemas.openxmlformats.org/officeDocument/2006/relationships" ref="C6" r:id="rId6"/>
    <hyperlink xmlns:r="http://schemas.openxmlformats.org/officeDocument/2006/relationships" ref="C7" r:id="rId7"/>
    <hyperlink xmlns:r="http://schemas.openxmlformats.org/officeDocument/2006/relationships" ref="C8" r:id="rId8"/>
    <hyperlink xmlns:r="http://schemas.openxmlformats.org/officeDocument/2006/relationships" ref="C9" r:id="rId9"/>
    <hyperlink xmlns:r="http://schemas.openxmlformats.org/officeDocument/2006/relationships" ref="C10" r:id="rId10"/>
    <hyperlink xmlns:r="http://schemas.openxmlformats.org/officeDocument/2006/relationships" ref="C11" r:id="rId11"/>
    <hyperlink xmlns:r="http://schemas.openxmlformats.org/officeDocument/2006/relationships" ref="C12" r:id="rId12"/>
    <hyperlink xmlns:r="http://schemas.openxmlformats.org/officeDocument/2006/relationships" ref="C13"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 xmlns:r="http://schemas.openxmlformats.org/officeDocument/2006/relationships" ref="C26" r:id="rId23"/>
    <hyperlink xmlns:r="http://schemas.openxmlformats.org/officeDocument/2006/relationships" ref="C27" r:id="rId24"/>
    <hyperlink xmlns:r="http://schemas.openxmlformats.org/officeDocument/2006/relationships" ref="C28" r:id="rId25"/>
    <hyperlink xmlns:r="http://schemas.openxmlformats.org/officeDocument/2006/relationships" ref="C29" r:id="rId26"/>
    <hyperlink xmlns:r="http://schemas.openxmlformats.org/officeDocument/2006/relationships" ref="C30" r:id="rId27"/>
    <hyperlink xmlns:r="http://schemas.openxmlformats.org/officeDocument/2006/relationships" ref="C31" r:id="rId28"/>
    <hyperlink xmlns:r="http://schemas.openxmlformats.org/officeDocument/2006/relationships" ref="C36" r:id="rId29"/>
    <hyperlink xmlns:r="http://schemas.openxmlformats.org/officeDocument/2006/relationships" ref="C37" r:id="rId30"/>
    <hyperlink xmlns:r="http://schemas.openxmlformats.org/officeDocument/2006/relationships" ref="C38" r:id="rId31"/>
    <hyperlink xmlns:r="http://schemas.openxmlformats.org/officeDocument/2006/relationships" ref="C39" r:id="rId32"/>
    <hyperlink xmlns:r="http://schemas.openxmlformats.org/officeDocument/2006/relationships" ref="C40" r:id="rId33"/>
    <hyperlink xmlns:r="http://schemas.openxmlformats.org/officeDocument/2006/relationships" ref="C41" r:id="rId34"/>
    <hyperlink xmlns:r="http://schemas.openxmlformats.org/officeDocument/2006/relationships" ref="C42" r:id="rId35"/>
    <hyperlink xmlns:r="http://schemas.openxmlformats.org/officeDocument/2006/relationships" ref="C43" r:id="rId36"/>
    <hyperlink xmlns:r="http://schemas.openxmlformats.org/officeDocument/2006/relationships" ref="C62" r:id="rId37"/>
    <hyperlink xmlns:r="http://schemas.openxmlformats.org/officeDocument/2006/relationships" ref="C63" r:id="rId38"/>
    <hyperlink xmlns:r="http://schemas.openxmlformats.org/officeDocument/2006/relationships" ref="C64" r:id="rId39"/>
    <hyperlink xmlns:r="http://schemas.openxmlformats.org/officeDocument/2006/relationships" ref="C65" r:id="rId40"/>
    <hyperlink xmlns:r="http://schemas.openxmlformats.org/officeDocument/2006/relationships" ref="C66" r:id="rId41"/>
    <hyperlink xmlns:r="http://schemas.openxmlformats.org/officeDocument/2006/relationships" ref="C69" r:id="rId42"/>
    <hyperlink xmlns:r="http://schemas.openxmlformats.org/officeDocument/2006/relationships" ref="C70" r:id="rId43"/>
    <hyperlink xmlns:r="http://schemas.openxmlformats.org/officeDocument/2006/relationships" ref="C71" r:id="rId44"/>
    <hyperlink xmlns:r="http://schemas.openxmlformats.org/officeDocument/2006/relationships" ref="C72" r:id="rId45"/>
  </hyperlinks>
  <printOptions horizontalCentered="1" gridLines="1"/>
  <pageMargins left="0.7" right="0.7" top="0.75" bottom="0.75" header="0" footer="0"/>
  <pageSetup orientation="landscape" paperSize="9" fitToHeight="0" pageOrder="overThenDown" cellComments="atEnd"/>
  <drawing xmlns:r="http://schemas.openxmlformats.org/officeDocument/2006/relationships" r:id="rId46"/>
</worksheet>
</file>

<file path=xl/worksheets/sheet3.xml><?xml version="1.0" encoding="utf-8"?>
<worksheet xmlns="http://schemas.openxmlformats.org/spreadsheetml/2006/main">
  <sheetPr>
    <outlinePr summaryBelow="0" summaryRight="0"/>
    <pageSetUpPr/>
  </sheetPr>
  <dimension ref="A1:Y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26.75" customWidth="1" style="59" min="2" max="2"/>
    <col width="16.75" customWidth="1" style="59" min="3" max="3"/>
    <col width="17.63" customWidth="1" style="59" min="5" max="5"/>
    <col width="34.5" customWidth="1" style="59" min="6" max="6"/>
    <col width="18.88" customWidth="1" style="59" min="7" max="7"/>
    <col width="22.13" customWidth="1" style="59" min="8" max="8"/>
    <col width="25.75" customWidth="1" style="59" min="9" max="9"/>
    <col width="22.5" customWidth="1" style="59" min="11" max="11"/>
    <col width="25.88" customWidth="1" style="59" min="12" max="12"/>
    <col width="23.88" customWidth="1" style="59" min="13" max="13"/>
    <col width="30.5" customWidth="1" style="59" min="14" max="14"/>
    <col width="31.13" customWidth="1" style="59" min="15" max="15"/>
    <col width="38" customWidth="1" style="59" min="16" max="16"/>
    <col width="32" customWidth="1" style="59" min="17" max="17"/>
  </cols>
  <sheetData>
    <row r="1">
      <c r="A1" s="1" t="inlineStr">
        <is>
          <t>sno</t>
        </is>
      </c>
      <c r="B1" s="2" t="inlineStr">
        <is>
          <t>Paper</t>
        </is>
      </c>
      <c r="C1" s="2" t="inlineStr">
        <is>
          <t>Journal/Conference</t>
        </is>
      </c>
      <c r="D1" s="2" t="inlineStr">
        <is>
          <t>Year</t>
        </is>
      </c>
      <c r="E1" s="2" t="inlineStr">
        <is>
          <t>Authors</t>
        </is>
      </c>
      <c r="F1" s="2" t="inlineStr">
        <is>
          <t>Link</t>
        </is>
      </c>
      <c r="G1" s="2" t="inlineStr">
        <is>
          <t>Model</t>
        </is>
      </c>
      <c r="H1" s="2" t="inlineStr">
        <is>
          <t>Dataset</t>
        </is>
      </c>
      <c r="I1" s="2" t="inlineStr">
        <is>
          <t>Dataset Size</t>
        </is>
      </c>
      <c r="J1" s="2" t="inlineStr">
        <is>
          <t>Metric</t>
        </is>
      </c>
      <c r="K1" s="2" t="inlineStr">
        <is>
          <t>Best Result</t>
        </is>
      </c>
      <c r="L1" s="2" t="inlineStr">
        <is>
          <t>Validation</t>
        </is>
      </c>
      <c r="M1" s="2" t="inlineStr">
        <is>
          <t>XAI</t>
        </is>
      </c>
      <c r="N1" s="2" t="inlineStr">
        <is>
          <t>Limitations</t>
        </is>
      </c>
      <c r="O1" s="2" t="inlineStr">
        <is>
          <t>Research Gap</t>
        </is>
      </c>
      <c r="P1" s="2" t="inlineStr">
        <is>
          <t>How Our Project is Better</t>
        </is>
      </c>
      <c r="Q1" s="2" t="inlineStr">
        <is>
          <t>Where Our Project Lags</t>
        </is>
      </c>
      <c r="R1" s="1" t="inlineStr">
        <is>
          <t>Category</t>
        </is>
      </c>
      <c r="S1" s="6" t="inlineStr">
        <is>
          <t>Journal_Score</t>
        </is>
      </c>
      <c r="T1" s="6" t="inlineStr">
        <is>
          <t>Dataset_Score</t>
        </is>
      </c>
      <c r="U1" s="6" t="inlineStr">
        <is>
          <t>Model_Score</t>
        </is>
      </c>
      <c r="V1" s="6" t="inlineStr">
        <is>
          <t>Task_Alignment_Score</t>
        </is>
      </c>
      <c r="W1" s="6" t="inlineStr">
        <is>
          <t>Experimental_Quality_Score</t>
        </is>
      </c>
      <c r="X1" s="6" t="inlineStr">
        <is>
          <t>Final_Global_Score</t>
        </is>
      </c>
      <c r="Y1" s="6" t="inlineStr">
        <is>
          <t>Category_Weighted_Score</t>
        </is>
      </c>
    </row>
    <row r="2">
      <c r="A2" s="35" t="inlineStr">
        <is>
          <t>Paper 1</t>
        </is>
      </c>
      <c r="B2" s="19" t="inlineStr">
        <is>
          <t>Detection of dental caries under fixed dental prostheses by analyzing digital panoramic radiographs with artificial intelligence algorithms based on deep learning methods</t>
        </is>
      </c>
      <c r="C2" s="19" t="inlineStr">
        <is>
          <t xml:space="preserve">BMC Oral Health (Journal),Springer </t>
        </is>
      </c>
      <c r="D2" s="19" t="n">
        <v>2025</v>
      </c>
      <c r="E2" s="19" t="inlineStr">
        <is>
          <t>Betül Ayhan, Enes Ayan, Saadet Atsü</t>
        </is>
      </c>
      <c r="F2" s="13" t="inlineStr">
        <is>
          <t>Detection of dental caries under fixed dental prostheses by analyzing digital panoramic radiographs with artificial intelligence algorithms based on deep learning methods | BMC Oral Health</t>
        </is>
      </c>
      <c r="G2" s="19" t="inlineStr">
        <is>
          <t>YOLOv7; Improved YOLOv7 + CBAM (Convolutional Block Attention Module)</t>
        </is>
      </c>
      <c r="H2" s="19" t="inlineStr">
        <is>
          <t>Private institutional dataset of digital panoramic radiographs of patients with fixed dental prostheses (FDPs)</t>
        </is>
      </c>
      <c r="I2" s="19" t="inlineStr">
        <is>
          <t>Stage 1: 1004 panoramic radiographs (904 train, 100 test). Stage 2 (cropped ROIs): 2467 images (2248 train, 219 test)</t>
        </is>
      </c>
      <c r="J2" s="19" t="inlineStr">
        <is>
          <t>Recall, Precision, mAP, F1-score</t>
        </is>
      </c>
      <c r="K2" s="19" t="inlineStr">
        <is>
          <t>Caries detection with YOLOv7+CBAM: Recall = 0.827, Precision = 0.834, mAP = 0.846, F1 = 0.830</t>
        </is>
      </c>
      <c r="L2" s="19" t="inlineStr">
        <is>
          <t>Hold-out split (90% train / 10% test). No cross-validation. Single-center retrospective dataset</t>
        </is>
      </c>
      <c r="M2" s="19" t="inlineStr">
        <is>
          <t>Not reported in paper</t>
        </is>
      </c>
      <c r="N2" s="19" t="inlineStr">
        <is>
          <t>Only panoramic radiographs used; bitewing radiographs excluded; performance still insufficient for direct clinical practice; dataset not publicly available; limited generalizability; no multimodal data; no external clinical validation</t>
        </is>
      </c>
      <c r="O2" s="19" t="inlineStr">
        <is>
          <t>Authors state need for multimodal datasets (panoramic + bitewing), diverse imaging devices, integration of patient-specific factors, and external clinical validation to improve generalizability and diagnostic reliability</t>
        </is>
      </c>
      <c r="P2" s="19" t="inlineStr">
        <is>
          <t>Our system is multi-task (detection + segmentation + prognosis) whereas this is single-task (caries under FDP detection only); uses modern YOLOv8 vs YOLOv7; includes periodontal segmentation and bone loss estimation; provides structured diagnostic summaries; includes XAI (Grad-CAM/attention maps) while this paper has none; designed as multi-disease clinical decision support and educational tool</t>
        </is>
      </c>
      <c r="Q2" s="19" t="inlineStr">
        <is>
          <t>Smaller and private dataset compared to potential multi-institutional datasets; lower reported accuracy for some tasks (our targets not yet clinically validated); no clinical trial or real-world dentist evaluation yet; no external validation reported for our system</t>
        </is>
      </c>
      <c r="R2" s="19" t="inlineStr">
        <is>
          <t>C1 – Caries Detection &amp; Severity</t>
        </is>
      </c>
      <c r="S2" s="17" t="n">
        <v>4</v>
      </c>
      <c r="T2" s="17" t="n">
        <v>5</v>
      </c>
      <c r="U2" s="17" t="n">
        <v>4</v>
      </c>
      <c r="V2" s="17" t="n">
        <v>4</v>
      </c>
      <c r="W2" s="17" t="n">
        <v>5</v>
      </c>
      <c r="X2" s="17" t="n">
        <v>4.35</v>
      </c>
      <c r="Y2" s="17" t="n">
        <v>4.4</v>
      </c>
    </row>
    <row r="3">
      <c r="A3" s="35" t="inlineStr">
        <is>
          <t>Paper 2</t>
        </is>
      </c>
      <c r="B3" s="19" t="inlineStr">
        <is>
          <t>AI-Powered Dental Caries Detection</t>
        </is>
      </c>
      <c r="C3" s="19" t="inlineStr">
        <is>
          <t>26th International Multitopic Conference (INMIC), IEEE</t>
        </is>
      </c>
      <c r="D3" s="19" t="n">
        <v>2024</v>
      </c>
      <c r="E3" s="19" t="inlineStr">
        <is>
          <t>Hira Khuwaja, Shehwar Javed, Ahsan Ali Khidri, Rabeea Jaffari</t>
        </is>
      </c>
      <c r="F3" s="18" t="inlineStr">
        <is>
          <t>AI-Powered Dental Caries Detection | IEEE Conference Publication</t>
        </is>
      </c>
      <c r="G3" s="19" t="inlineStr">
        <is>
          <t>YOLOv8, ResNet-50, EfficientDet D1, MobileNet V2</t>
        </is>
      </c>
      <c r="H3" s="19" t="inlineStr">
        <is>
          <t>Dental Mate Caries Detection Dataset (Roboflow public RGB intraoral images)</t>
        </is>
      </c>
      <c r="I3" s="19" t="inlineStr">
        <is>
          <t>7,447 RGB images (5,213 train / 1,415 val / 819 test)</t>
        </is>
      </c>
      <c r="J3" s="19" t="inlineStr">
        <is>
          <t>mAP@[0.50:0.95], mAP@[0.50], Average Recall, Total Loss</t>
        </is>
      </c>
      <c r="K3" s="19" t="inlineStr">
        <is>
          <t>ResNet-50: mAP@[0.50]=0.670, mAP@[0.50:0.95]=0.436, Recall=0.550, Loss=0.251</t>
        </is>
      </c>
      <c r="L3" s="19" t="inlineStr">
        <is>
          <t>Train/Validation/Test split (70% / 19% / 11%), no clinical or external validation</t>
        </is>
      </c>
      <c r="M3" s="19" t="inlineStr">
        <is>
          <t>Not reported in paper</t>
        </is>
      </c>
      <c r="N3" s="19" t="inlineStr">
        <is>
          <t>Uses only smartphone RGB images; no radiographs; limited to single task (caries detection); no clinical validation; no longitudinal or real-world testing</t>
        </is>
      </c>
      <c r="O3" s="19" t="inlineStr">
        <is>
          <t>Authors state need for real-time clinical application, larger datasets across demographics, longitudinal evaluation, ethical and regulatory validation</t>
        </is>
      </c>
      <c r="P3" s="19" t="inlineStr">
        <is>
          <t>Our system uses medical radiographs (OPG &amp; bitewing) instead of RGB photos; supports multi-task diagnosis (caries + periodontal); provides segmentation + severity grading + prognosis; includes explainability (Grad-CAM) and clinical decision support</t>
        </is>
      </c>
      <c r="Q3" s="19" t="inlineStr">
        <is>
          <t>This paper has larger dataset (7,447 images) than our current proposed dataset; includes mobile deployment scenario already tested</t>
        </is>
      </c>
      <c r="R3" s="19" t="inlineStr">
        <is>
          <t>C1 – Caries Detection &amp; Severity</t>
        </is>
      </c>
      <c r="S3" s="17" t="n">
        <v>2</v>
      </c>
      <c r="T3" s="17" t="n">
        <v>5</v>
      </c>
      <c r="U3" s="17" t="n">
        <v>4</v>
      </c>
      <c r="V3" s="17" t="n">
        <v>4</v>
      </c>
      <c r="W3" s="17" t="n">
        <v>5</v>
      </c>
      <c r="X3" s="17" t="n">
        <v>3.85</v>
      </c>
      <c r="Y3" s="17" t="n">
        <v>4.1</v>
      </c>
    </row>
    <row r="4">
      <c r="A4" s="19" t="inlineStr">
        <is>
          <t>Paper 3</t>
        </is>
      </c>
      <c r="B4" s="19" t="inlineStr">
        <is>
          <t>Advanced AI-assisted panoramic radiograph analysis for periodontal prognostication and alveolar bone loss detection</t>
        </is>
      </c>
      <c r="C4" s="19" t="inlineStr">
        <is>
          <t>Frontiers in Dental Medicine (Journal)</t>
        </is>
      </c>
      <c r="D4" s="19" t="n">
        <v>2025</v>
      </c>
      <c r="E4" s="19" t="inlineStr">
        <is>
          <t>Jarupat Jundaeng, Rapeeporn Chamchong, Choosak Nithikathkul</t>
        </is>
      </c>
      <c r="F4" s="18" t="inlineStr">
        <is>
          <t xml:space="preserve"> Advanced AI-Assisted Panoramic Radiograph Analysis for Periodontal           Prognostication and Alveolar Bone Loss Detection </t>
        </is>
      </c>
      <c r="G4" s="19" t="inlineStr">
        <is>
          <t>YOLOv8-based CNN (two models: teeth segmentation model; CEJ &amp; alveolar bone level segmentation model)</t>
        </is>
      </c>
      <c r="H4" s="19" t="inlineStr">
        <is>
          <t>Private clinical panoramic radiographs from Fang Hospital, Thailand (SIDEXIS Next Generation, Sirona)</t>
        </is>
      </c>
      <c r="I4" s="19" t="inlineStr">
        <is>
          <t>2,000 panoramic radiographs (70% train / 10% val / 20% test)</t>
        </is>
      </c>
      <c r="J4" s="19" t="inlineStr">
        <is>
          <t>Precision, Recall, F1-score, Accuracy, mAP50</t>
        </is>
      </c>
      <c r="K4" s="19" t="inlineStr">
        <is>
          <t>CEJ &amp; bone level segmentation: Accuracy = 0.98, Sensitivity = 1.0, Specificity = 0.98, F1 = 0.90, mAP50 = 0.995</t>
        </is>
      </c>
      <c r="L4" s="19" t="inlineStr">
        <is>
          <t>Internal hold-out validation using confusion matrix; no external multi-center validation</t>
        </is>
      </c>
      <c r="M4" s="19" t="inlineStr">
        <is>
          <t>Not reported in paper</t>
        </is>
      </c>
      <c r="N4" s="19" t="inlineStr">
        <is>
          <t>Single-center dataset; only high-quality panoramic images; no other X-ray devices; low-quality or rare morphologies excluded; no multi-center or cross-device validation</t>
        </is>
      </c>
      <c r="O4" s="19" t="inlineStr">
        <is>
          <t>Authors state need for multi-center validation, integration of other imaging modalities, real-time clinical deployment, handling suboptimal images</t>
        </is>
      </c>
      <c r="P4" s="19" t="inlineStr">
        <is>
          <t>Our system integrates caries detection + periodontal segmentation + severity grading + prognosis; includes bitewing + panoramic; uses multi-model ensemble (YOLOv8 + U-Net); provides AI-generated structured diagnostic summaries and Grad-CAM explainability, whereas this paper only covers periodontal bone loss</t>
        </is>
      </c>
      <c r="Q4" s="19" t="inlineStr">
        <is>
          <t>This paper has real hospital data (2,000 cases) with ethical approval and clinical deployment context; our system currently lacks institutional clinical dataset and IRB validation</t>
        </is>
      </c>
      <c r="R4" s="19" t="inlineStr">
        <is>
          <t>C2 – Periodontal Disease &amp; Bone Loss</t>
        </is>
      </c>
      <c r="S4" s="17" t="n">
        <v>4</v>
      </c>
      <c r="T4" s="17" t="n">
        <v>5</v>
      </c>
      <c r="U4" s="17" t="n">
        <v>4</v>
      </c>
      <c r="V4" s="17" t="n">
        <v>4</v>
      </c>
      <c r="W4" s="17" t="n">
        <v>5</v>
      </c>
      <c r="X4" s="17" t="n">
        <v>4.35</v>
      </c>
      <c r="Y4" s="17" t="n">
        <v>4.5</v>
      </c>
    </row>
    <row r="5">
      <c r="A5" s="19" t="inlineStr">
        <is>
          <t>Paper 4</t>
        </is>
      </c>
      <c r="B5" s="19" t="inlineStr">
        <is>
          <t>The 2018 Classification of Periodontitis: Challenges from Clinical Perspective</t>
        </is>
      </c>
      <c r="C5" s="19" t="inlineStr">
        <is>
          <t>Dentistry Journal (MDPI)</t>
        </is>
      </c>
      <c r="D5" s="19" t="n">
        <v>2025</v>
      </c>
      <c r="E5" s="19" t="inlineStr">
        <is>
          <t>Marek Chmielewski, Andrea Pilloni, Alessandro Cuozzo, Giuseppe D’Albis, Gerarda D’Elia, Piero Papi, Lorenzo Marini</t>
        </is>
      </c>
      <c r="F5" s="18" t="inlineStr">
        <is>
          <t>The 2018 Classification of Periodontitis: Challenges from Clinical Perspective</t>
        </is>
      </c>
      <c r="G5" s="19" t="inlineStr">
        <is>
          <t>Not reported in paper (clinical narrative review; no ML model proposed)</t>
        </is>
      </c>
      <c r="H5" s="19" t="inlineStr">
        <is>
          <t>11 previously published clinical studies on 2018 AAP/EFP classification</t>
        </is>
      </c>
      <c r="I5" s="19" t="inlineStr">
        <is>
          <t>459 clinical periodontal cases; 852 examiners; 31 gold-standard examiners</t>
        </is>
      </c>
      <c r="J5" s="19" t="inlineStr">
        <is>
          <t xml:space="preserve">    </t>
        </is>
      </c>
      <c r="K5" s="19" t="inlineStr">
        <is>
          <t>Highest reported: Raza et al. 2024 – Stage accuracy 90%, Extent 100%, Grade 100%</t>
        </is>
      </c>
      <c r="L5" s="19" t="inlineStr">
        <is>
          <t>Comparison with gold-standard examiners across studies; no external validation dataset</t>
        </is>
      </c>
      <c r="M5" s="19" t="inlineStr">
        <is>
          <t>Not reported in paper</t>
        </is>
      </c>
      <c r="N5" s="19" t="inlineStr">
        <is>
          <t>Narrative review (not systematic); heterogeneity of included studies; no new primary data; no direct AI system evaluated</t>
        </is>
      </c>
      <c r="O5" s="19" t="inlineStr">
        <is>
          <t>Authors explicitly state need for AI-assisted diagnostic tools for automated radiographic bone loss analysis and periodontal staging to reduce subjectivity and improve consistency</t>
        </is>
      </c>
      <c r="P5" s="19" t="inlineStr">
        <is>
          <t>Our system provides fully automated AI-based periodontal bone loss detection and staging, whereas this paper only analyzes human diagnostic variability; we offer image-based objective assessment, multi-task learning, and real-time decision support</t>
        </is>
      </c>
      <c r="Q5" s="19" t="inlineStr">
        <is>
          <t>This paper is based on real multi-center clinical studies with expert examiners; our project currently lacks such large-scale human benchmarking and examiner agreement analysis</t>
        </is>
      </c>
      <c r="R5" s="19" t="inlineStr">
        <is>
          <t>C2 – Periodontal Disease &amp; Bone Loss</t>
        </is>
      </c>
      <c r="S5" s="17" t="n">
        <v>3</v>
      </c>
      <c r="T5" s="17" t="n">
        <v>4</v>
      </c>
      <c r="U5" s="17" t="n">
        <v>1</v>
      </c>
      <c r="V5" s="17" t="n">
        <v>4</v>
      </c>
      <c r="W5" s="17" t="n">
        <v>5</v>
      </c>
      <c r="X5" s="17" t="n">
        <v>3.25</v>
      </c>
      <c r="Y5" s="17" t="n">
        <v>3.35</v>
      </c>
    </row>
    <row r="6">
      <c r="A6" s="19" t="inlineStr">
        <is>
          <t>Paper 5</t>
        </is>
      </c>
      <c r="B6" s="19" t="inlineStr">
        <is>
          <t>YOLO-based panoramic dental X-ray image analysis</t>
        </is>
      </c>
      <c r="C6" s="19" t="inlineStr">
        <is>
          <t>Neural Computing and Applications (Springer)</t>
        </is>
      </c>
      <c r="D6" s="19" t="n">
        <v>2025</v>
      </c>
      <c r="E6" s="19" t="inlineStr">
        <is>
          <t>Khalid Nassiri, Moulay A. Akhloufi</t>
        </is>
      </c>
      <c r="F6" s="18" t="inlineStr">
        <is>
          <t>YOLO-based panoramic dental X-ray image analysis | Neural Computing and Applications | Springer Nature Link</t>
        </is>
      </c>
      <c r="G6" s="19" t="inlineStr">
        <is>
          <t>YOLOv5, YOLOv6, YOLOv7, YOLOv8, YOLOv9 (segmentation variants: YOLOv5-seg, YOLOv7-seg, YOLOv8-seg, YOLOv9-seg)</t>
        </is>
      </c>
      <c r="H6" s="19" t="inlineStr">
        <is>
          <t>DENTEX public panoramic dental X-ray dataset</t>
        </is>
      </c>
      <c r="I6" s="19" t="inlineStr">
        <is>
          <t>Quadrant detection: 693 images; Tooth enumeration: 634 images; Anomaly detection: 1005 images</t>
        </is>
      </c>
      <c r="J6" s="19" t="inlineStr">
        <is>
          <t>Precision, Recall, mAP50, mAP50-95 (for boxes and masks)</t>
        </is>
      </c>
      <c r="K6" s="19" t="inlineStr">
        <is>
          <t>YOLOv9e-seg: Precision(B)=0.968, Recall(B)=0.962, mAP50(B)=0.978, mAP50-95(B)=0.767; Segmentation mAP50(M)=0.959</t>
        </is>
      </c>
      <c r="L6" s="19" t="inlineStr">
        <is>
          <t>Internal train/validation/test splits; no external multi-center clinical validation</t>
        </is>
      </c>
      <c r="M6" s="19" t="inlineStr">
        <is>
          <t>Not reported in paper</t>
        </is>
      </c>
      <c r="N6" s="19" t="inlineStr">
        <is>
          <t>Subtle pathologies difficult to detect; limited disease classification; needs larger and more diverse datasets; no explainability module</t>
        </is>
      </c>
      <c r="O6" s="19" t="inlineStr">
        <is>
          <t>Authors explicitly state need for pathology classification models, larger multi-center datasets, and explainability methods to improve clinician trust</t>
        </is>
      </c>
      <c r="P6" s="19" t="inlineStr">
        <is>
          <t>Our system adds severity grading, periodontal bone loss segmentation, prognosis summarization, multi-disease analysis, and Grad-CAM explainability, whereas this paper focuses on detection + segmentation + enumeration only</t>
        </is>
      </c>
      <c r="Q6" s="19" t="inlineStr">
        <is>
          <t>This paper uses a publicly available annotated dataset (DENTEX) and achieves very high mAP scores; our project currently lacks a standardized public benchmark dataset of similar scale</t>
        </is>
      </c>
      <c r="R6" s="19" t="inlineStr">
        <is>
          <t>C3 – Multi-task / End-to-End OPG Diagnosis</t>
        </is>
      </c>
      <c r="S6" s="17" t="n">
        <v>3</v>
      </c>
      <c r="T6" s="17" t="n">
        <v>5</v>
      </c>
      <c r="U6" s="17" t="n">
        <v>4</v>
      </c>
      <c r="V6" s="17" t="n">
        <v>5</v>
      </c>
      <c r="W6" s="17" t="n">
        <v>5</v>
      </c>
      <c r="X6" s="17" t="n">
        <v>4.3</v>
      </c>
      <c r="Y6" s="17" t="n">
        <v>4.55</v>
      </c>
    </row>
    <row r="7">
      <c r="A7" s="19" t="inlineStr">
        <is>
          <t>Paper 6</t>
        </is>
      </c>
      <c r="B7" s="19" t="inlineStr">
        <is>
          <t>Deep Learning-Based Recognition of Periodontitis and Dental Caries in Dental X-ray Images</t>
        </is>
      </c>
      <c r="C7" s="19" t="inlineStr">
        <is>
          <t>Bioengineering (MDPI Journal)</t>
        </is>
      </c>
      <c r="D7" s="19" t="n">
        <v>2023</v>
      </c>
      <c r="E7" s="19" t="inlineStr">
        <is>
          <t>Ivane Delos Santos Chen, Chieh-Ming Yang, Mei-Juan Chen, Ming-Chin Chen, Ro-Min Weng, Chia-Hung Yeh</t>
        </is>
      </c>
      <c r="F7" s="18" t="inlineStr">
        <is>
          <t>Deep Learning-Based Recognition of Periodontitis and Dental Caries in Dental X-ray Images - PMC</t>
        </is>
      </c>
      <c r="G7" s="19" t="inlineStr">
        <is>
          <t>YOLOv7 (tooth detection) + EfficientNet-B0 (multi-label CNN classifier); also compared with Xception and MobileNetV2</t>
        </is>
      </c>
      <c r="H7" s="19" t="inlineStr">
        <is>
          <t>Private clinical periapical dental X-ray images from dental clinic in Hualien, Taiwan</t>
        </is>
      </c>
      <c r="I7" s="19" t="inlineStr">
        <is>
          <t>1525 periapical X-rays → 2850 cropped single-tooth images → after augmentation: 11,000 images (8000 train / 2000 val / 1000 test)</t>
        </is>
      </c>
      <c r="J7" s="19" t="inlineStr">
        <is>
          <t>Accuracy, Sensitivity (Recall), Specificity, PPV, NPV, ROC AUC, PR AUC</t>
        </is>
      </c>
      <c r="K7" s="19" t="inlineStr">
        <is>
          <t>EfficientNet-B0: Periodontitis ROC AUC = 98.67%, PR AUC = 98.38%; Dental caries ROC AUC = 98.31%, PR AUC = 97.55%; Tooth detection AP (YOLOv7) = 97.1%</t>
        </is>
      </c>
      <c r="L7" s="19" t="inlineStr">
        <is>
          <t>10-fold cross-validation on internal dataset; no external validation</t>
        </is>
      </c>
      <c r="M7" s="19" t="inlineStr">
        <is>
          <t>Grad-CAM used for visual explanation of classification regions</t>
        </is>
      </c>
      <c r="N7" s="19" t="inlineStr">
        <is>
          <t>Only periapical X-rays; excludes clinical metadata (history, symptoms); single-center dataset; no external or multi-device validation</t>
        </is>
      </c>
      <c r="O7" s="19" t="inlineStr">
        <is>
          <t>Authors explicitly state need to integrate clinical factors with radiographs, and evaluate AI models using both imaging and clinical data to improve diagnostic accuracy</t>
        </is>
      </c>
      <c r="P7" s="19" t="inlineStr">
        <is>
          <t>Our system supports panoramic + bitewing X-rays, performs segmentation + severity grading + bone loss estimation + prognosis, not just classification; provides structured diagnostic summary for clinical decision support</t>
        </is>
      </c>
      <c r="Q7" s="19" t="inlineStr">
        <is>
          <t>This paper has real IRB-approved hospital dataset with expert annotations and high classification accuracy (&gt;98% AUC); our project currently lacks such institutional clinical dataset and cross-validation</t>
        </is>
      </c>
      <c r="R7" s="19" t="inlineStr">
        <is>
          <t>C3 – Multi-task / End-to-End OPG Diagnosis</t>
        </is>
      </c>
      <c r="S7" s="17" t="n">
        <v>3</v>
      </c>
      <c r="T7" s="17" t="n">
        <v>5</v>
      </c>
      <c r="U7" s="17" t="n">
        <v>5</v>
      </c>
      <c r="V7" s="17" t="n">
        <v>5</v>
      </c>
      <c r="W7" s="17" t="n">
        <v>5</v>
      </c>
      <c r="X7" s="17" t="n">
        <v>4.5</v>
      </c>
      <c r="Y7" s="17" t="n">
        <v>4.8</v>
      </c>
    </row>
    <row r="8">
      <c r="A8" s="19" t="inlineStr">
        <is>
          <t>Paper 7</t>
        </is>
      </c>
      <c r="B8" s="19" t="inlineStr">
        <is>
          <t>Detection of Cavities from Dental Panoramic X-ray Images Using Nested U-Net Models</t>
        </is>
      </c>
      <c r="C8" s="19" t="inlineStr">
        <is>
          <t>Applied Sciences (MDPI Journal)</t>
        </is>
      </c>
      <c r="D8" s="19" t="n">
        <v>2023</v>
      </c>
      <c r="E8" s="19" t="inlineStr">
        <is>
          <t>Shuaa S. Alharbi, Athbah A. AlRugaibah, Haifa F. Alhasson, Rehan Ullah Khan</t>
        </is>
      </c>
      <c r="F8" s="18" t="inlineStr">
        <is>
          <t>Detection of Cavities from Dental Panoramic X-ray Images Using Nested U-Net Models</t>
        </is>
      </c>
      <c r="G8" s="19" t="inlineStr">
        <is>
          <t>U-Net, U-Net++, U-Net3+ (segmentation CNNs)</t>
        </is>
      </c>
      <c r="H8" s="19" t="inlineStr">
        <is>
          <t>DNS Panoramic Images Dataset (Ivisionlab) with newly annotated cavity masks</t>
        </is>
      </c>
      <c r="I8" s="19" t="inlineStr">
        <is>
          <t>1500 panoramic X-rays; only 510 had cavities; cropped dataset: 673 images (after augmentation up to 4432–4908 depending on split)</t>
        </is>
      </c>
      <c r="J8" s="19" t="inlineStr">
        <is>
          <t>IoU, Dice coefficient, Accuracy, MSE</t>
        </is>
      </c>
      <c r="K8" s="19" t="inlineStr">
        <is>
          <t>U-Net3+ (test): IoU = 0.67, Dice = 0.60, Accuracy = 0.95</t>
        </is>
      </c>
      <c r="L8" s="19" t="inlineStr">
        <is>
          <t>Internal train/validation/test splits (various: 80/10/10, 60/40); dentist-annotated ground truth; no external validation</t>
        </is>
      </c>
      <c r="M8" s="19" t="inlineStr">
        <is>
          <t>Not reported in paper</t>
        </is>
      </c>
      <c r="N8" s="19" t="inlineStr">
        <is>
          <t>Limited dataset; only panoramic modality; single-center annotation; shadows and image quality issues; models fail on low-quality panoramic images; no clinical trials</t>
        </is>
      </c>
      <c r="O8" s="19" t="inlineStr">
        <is>
          <t>Authors explicitly state need for multi-modality dental imaging, hypermodels (ensembles), and testing new CNN architectures for better generalization</t>
        </is>
      </c>
      <c r="P8" s="19" t="inlineStr">
        <is>
          <t>Our system performs object detection + severity grading + periodontal segmentation + bone loss + prognosis, whereas this paper only does binary cavity segmentation; we use YOLOv8 + U-Net ensemble, include bitewing images, and provide explainability (Grad-CAM)</t>
        </is>
      </c>
      <c r="Q8" s="19" t="inlineStr">
        <is>
          <t>This paper has expert dentist annotations and reports quantitative segmentation metrics on real clinical images; our system currently lacks dentist-labeled cavity masks and large annotated OPG dataset</t>
        </is>
      </c>
      <c r="R8" s="20" t="inlineStr">
        <is>
          <t>C1 – Caries Detection &amp; Severity</t>
        </is>
      </c>
      <c r="S8" s="17" t="n">
        <v>3</v>
      </c>
      <c r="T8" s="17" t="n">
        <v>5</v>
      </c>
      <c r="U8" s="17" t="n">
        <v>4</v>
      </c>
      <c r="V8" s="17" t="n">
        <v>4</v>
      </c>
      <c r="W8" s="17" t="n">
        <v>5</v>
      </c>
      <c r="X8" s="17" t="n">
        <v>4.1</v>
      </c>
      <c r="Y8" s="17" t="n">
        <v>4.25</v>
      </c>
    </row>
    <row r="9">
      <c r="A9" s="19" t="inlineStr">
        <is>
          <t>Paper 8</t>
        </is>
      </c>
      <c r="B9" s="19" t="inlineStr">
        <is>
          <t>A Deep Learning Approach to Automatic Tooth Caries Segmentation in Panoramic Radiographs of Children in Primary Dentition, Mixed Dentition, and Permanent Dentition</t>
        </is>
      </c>
      <c r="C9" s="19" t="inlineStr">
        <is>
          <t>Children (MDPI Journal)</t>
        </is>
      </c>
      <c r="D9" s="19" t="n">
        <v>2024</v>
      </c>
      <c r="E9" s="19" t="inlineStr">
        <is>
          <t>Esra Asci, Münevver Kılıç, Özer Çelik, Kenan Cantekin, Hasan Basri Bircan, İbrahim Şevki Bayrakdar, Kaan Orhan</t>
        </is>
      </c>
      <c r="F9" s="18" t="inlineStr">
        <is>
          <t>A Deep Learning Approach to Automatic Tooth Caries Segmentation in Panoramic Radiographs of Children in Primary Dentition, Mixed Dentition, and Permanent Dentition</t>
        </is>
      </c>
      <c r="G9" s="19" t="inlineStr">
        <is>
          <t>U-Net (encoder–decoder CNN, 4 blocks, 32–512 filters)</t>
        </is>
      </c>
      <c r="H9" s="19" t="inlineStr">
        <is>
          <t>Private clinical pediatric panoramic radiographs from Ataturk University archive (Planmeca ProMax 2D)</t>
        </is>
      </c>
      <c r="I9" s="19" t="inlineStr">
        <is>
          <t>6075 panoramic X-rays (Primary: 1857, Mixed: 1406, Permanent: 2812); Total used for final model: 4875 images</t>
        </is>
      </c>
      <c r="J9" s="19" t="inlineStr">
        <is>
          <t>Sensitivity, Precision, F1-score, ROC AUC</t>
        </is>
      </c>
      <c r="K9" s="19" t="inlineStr">
        <is>
          <t>Total dataset: Sensitivity = 0.8269, Precision = 0.9123, F1 = 0.8675, ROC AUC = 0.76</t>
        </is>
      </c>
      <c r="L9" s="19" t="inlineStr">
        <is>
          <t>Internal train/validation/test split; dentist-annotated ground truth; no external validation</t>
        </is>
      </c>
      <c r="M9" s="19" t="inlineStr">
        <is>
          <t>Not reported in paper</t>
        </is>
      </c>
      <c r="N9" s="19" t="inlineStr">
        <is>
          <t>Only panoramic radiographs; no bitewing or CBCT; no cascade network; performance below 90% clinical threshold; no histological confirmation; no comparison with other radiographic methods</t>
        </is>
      </c>
      <c r="O9" s="19" t="inlineStr">
        <is>
          <t>Authors explicitly state need for cascade networks, caries staging, larger datasets, histological confirmation, and comparison with clinical methods</t>
        </is>
      </c>
      <c r="P9" s="19" t="inlineStr">
        <is>
          <t>Our system performs object detection + severity grading + periodontal segmentation + bone loss estimation + prognosis, whereas this paper only does binary caries segmentation; we use YOLOv8 + U-Net ensemble, include bitewing images, and provide Grad-CAM explainability</t>
        </is>
      </c>
      <c r="Q9" s="19" t="inlineStr">
        <is>
          <t>This paper has a large real pediatric clinical dataset (6075 OPGs) with ethical approval and expert annotations; our project currently lacks such large-scale pediatric hospital data</t>
        </is>
      </c>
      <c r="R9" s="19" t="inlineStr">
        <is>
          <t>C1 – Caries Detection &amp; Severity</t>
        </is>
      </c>
      <c r="S9" s="17" t="n">
        <v>3</v>
      </c>
      <c r="T9" s="17" t="n">
        <v>5</v>
      </c>
      <c r="U9" s="17" t="n">
        <v>4</v>
      </c>
      <c r="V9" s="17" t="n">
        <v>4</v>
      </c>
      <c r="W9" s="17" t="n">
        <v>5</v>
      </c>
      <c r="X9" s="17" t="n">
        <v>4.1</v>
      </c>
      <c r="Y9" s="17" t="n">
        <v>4.25</v>
      </c>
    </row>
    <row r="10">
      <c r="A10" s="19" t="inlineStr">
        <is>
          <t>Paper 9</t>
        </is>
      </c>
      <c r="B10" s="19" t="inlineStr">
        <is>
          <t>Automated Detection of Periodontal Bone Loss in Two-Dimensional (2D) Radiographs Using Artificial Intelligence: A Systematic Review</t>
        </is>
      </c>
      <c r="C10" s="19" t="inlineStr">
        <is>
          <t>Dentistry Journal (MDPI)</t>
        </is>
      </c>
      <c r="D10" s="19" t="n">
        <v>2025</v>
      </c>
      <c r="E10" s="19" t="inlineStr">
        <is>
          <t>Alin M. Iacob, Marta Castrillón Fernández, Laura Fernández Robledo, Enrique Barbeito Castro, Matías Ferrán Escobedo Martínez</t>
        </is>
      </c>
      <c r="F10" s="13" t="inlineStr">
        <is>
          <t>[PDF] Automated Detection of Periodontal Bone Loss in Two-Dimensional (2D) Radiographs Using Artificial Intelligence: A Systematic Review | Semantic Scholar</t>
        </is>
      </c>
      <c r="G10" s="19" t="inlineStr">
        <is>
          <t>Not reported in paper (systematic review; multiple CNN architectures surveyed such as U-Net, YOLO, ResNet, ConvNeXt, DeNTNet, Diagnocat)</t>
        </is>
      </c>
      <c r="H10" s="19" t="inlineStr">
        <is>
          <t>20 diagnostic accuracy studies using panoramic, periapical, and bitewing radiographs</t>
        </is>
      </c>
      <c r="I10" s="19" t="inlineStr">
        <is>
          <t>Total across studies: 141,166 radiographs (20,942 panoramic; 120,224 periapical/bitewing); individual studies range: 30 – 103,914 images</t>
        </is>
      </c>
      <c r="J10" s="19" t="inlineStr">
        <is>
          <t>Accuracy, Sensitivity, Specificity, Precision, F1-score, AUROC, Dice, IoU</t>
        </is>
      </c>
      <c r="K10" s="19" t="inlineStr">
        <is>
          <t>Not reported in paper (review reports ranges; no single best model)</t>
        </is>
      </c>
      <c r="L10" s="19" t="inlineStr">
        <is>
          <t>QUADAS-2 risk of bias assessment; PRISMA-based systematic review; Cohen’s kappa for inter-rater agreement</t>
        </is>
      </c>
      <c r="M10" s="19" t="inlineStr">
        <is>
          <t>Not reported in paper (no XAI methods evaluated)</t>
        </is>
      </c>
      <c r="N10" s="19" t="inlineStr">
        <is>
          <t>High heterogeneity across studies; lack of standardization of metrics; many studies single-center; many lack external validation; variability in imaging protocols and CNN architectures</t>
        </is>
      </c>
      <c r="O10" s="19" t="inlineStr">
        <is>
          <t>Authors explicitly state need for multicenter datasets, standardized imaging protocols, external validation, larger datasets, and integration of additional data (CBCT, clinical risk factors) to improve generalizability and clinical applicability</t>
        </is>
      </c>
      <c r="P10" s="19" t="inlineStr">
        <is>
          <t>Our system is a single unified multi-task AI pipeline (YOLOv8 + U-Net) for both caries and periodontal disease, whereas this paper only reviews periodontal bone loss studies and does not propose an end-to-end system</t>
        </is>
      </c>
      <c r="Q10" s="19" t="inlineStr">
        <is>
          <t>This paper synthesizes real multi-center evidence from 141k+ radiographs and provides clinical-grade validation analysis; our project currently lacks such large-scale systematic clinical benchmarking</t>
        </is>
      </c>
      <c r="R10" s="19" t="inlineStr">
        <is>
          <t>C2 – Periodontal Disease &amp; Bone Loss</t>
        </is>
      </c>
      <c r="S10" s="17" t="n">
        <v>3</v>
      </c>
      <c r="T10" s="17" t="n">
        <v>5</v>
      </c>
      <c r="U10" s="17" t="n">
        <v>5</v>
      </c>
      <c r="V10" s="17" t="n">
        <v>4</v>
      </c>
      <c r="W10" s="17" t="n">
        <v>5</v>
      </c>
      <c r="X10" s="17" t="n">
        <v>4.3</v>
      </c>
      <c r="Y10" s="17" t="n">
        <v>4.65</v>
      </c>
    </row>
    <row r="11">
      <c r="A11" s="19" t="inlineStr">
        <is>
          <t>Paper 10</t>
        </is>
      </c>
      <c r="B11" s="19" t="inlineStr">
        <is>
          <t>Automated Diagnosis of Dental Conditions in Panoramic X-Rays with Ensemble Deep Learning Models</t>
        </is>
      </c>
      <c r="C11" s="19" t="inlineStr">
        <is>
          <t>2025 Intelligent Methods, Systems, and Applications (IMSA), IEEE</t>
        </is>
      </c>
      <c r="D11" s="19" t="n">
        <v>2025</v>
      </c>
      <c r="E11" s="19" t="inlineStr">
        <is>
          <t>Mohaned Gamal, Aly Essam, Ayman Atia</t>
        </is>
      </c>
      <c r="F11" s="18" t="inlineStr">
        <is>
          <t xml:space="preserve">Diagnosis of Dental Conditions in Panoramic X-Rays with Ensemble Deep Learning ModelsAutomated </t>
        </is>
      </c>
      <c r="G11" s="19" t="inlineStr">
        <is>
          <t>Custom CNN, ResNet-50, InceptionV3, DenseNet121, VGG19 with ensemble methods (Weighted Average, Stacking with XGBoost, Bagging, Boosting)</t>
        </is>
      </c>
      <c r="H11" s="19" t="inlineStr">
        <is>
          <t>Roboflow panoramic dental X-ray dataset with tooth-level bounding boxes</t>
        </is>
      </c>
      <c r="I11" s="19" t="inlineStr">
        <is>
          <t>1,075 panoramic X-rays → 1,814 cropped tooth images (1,357 train / 273 val / 184 test)</t>
        </is>
      </c>
      <c r="J11" s="19" t="inlineStr">
        <is>
          <t>Accuracy, Precision, Recall, F1-score, MCC, AUC-ROC</t>
        </is>
      </c>
      <c r="K11" s="19" t="inlineStr">
        <is>
          <t>Weighted Average Ensemble: Accuracy = 92.93%, Precision = 92.93%, Recall = 92.93%, F1 = 0.92</t>
        </is>
      </c>
      <c r="L11" s="19" t="inlineStr">
        <is>
          <t>Internal train/validation/test split; no external validation; tested on 4 real cases</t>
        </is>
      </c>
      <c r="M11" s="19" t="inlineStr">
        <is>
          <t>Not reported in paper</t>
        </is>
      </c>
      <c r="N11" s="19" t="inlineStr">
        <is>
          <t>Limited dataset diversity and size; overfitting risk; high computational cost; lack of explainability tools; no clinical trials or external benchmarks</t>
        </is>
      </c>
      <c r="O11" s="19" t="inlineStr">
        <is>
          <t>Authors explicitly state need for larger diverse datasets, clinical trials, lightweight models for real-time use, Grad-CAM/attention-based explainability, and expanded diagnostic scope including periodontal disease</t>
        </is>
      </c>
      <c r="P11" s="19" t="inlineStr">
        <is>
          <t>Our system adds segmentation, severity grading, periodontal bone loss estimation, tooth-level prognosis, and Grad-CAM explainability; supports multi-task learning (detection + segmentation + prognosis) and bitewing + panoramic modalities, whereas this paper is only tooth-level classification</t>
        </is>
      </c>
      <c r="Q11" s="19" t="inlineStr">
        <is>
          <t>This paper achieves high accuracy (92.93%) on a real dataset and implements ensemble learning with ESRGAN preprocessing; our project currently lacks external clinical validation and ensemble benchmarking</t>
        </is>
      </c>
      <c r="R11" s="19" t="inlineStr">
        <is>
          <t>C3 – Multi-task / End-to-End OPG Diagnosis</t>
        </is>
      </c>
      <c r="S11" s="17" t="n">
        <v>1</v>
      </c>
      <c r="T11" s="17" t="n">
        <v>5</v>
      </c>
      <c r="U11" s="17" t="n">
        <v>3</v>
      </c>
      <c r="V11" s="17" t="n">
        <v>5</v>
      </c>
      <c r="W11" s="17" t="n">
        <v>5</v>
      </c>
      <c r="X11" s="17" t="n">
        <v>3.6</v>
      </c>
      <c r="Y11" s="17" t="n">
        <v>4.1</v>
      </c>
    </row>
    <row r="12">
      <c r="A12" s="19" t="inlineStr">
        <is>
          <t>Paper 11</t>
        </is>
      </c>
      <c r="B12" s="19" t="inlineStr">
        <is>
          <t>Artificial Intelligence for Radiographic Imaging Detection of Caries Lesions: A Systematic Review</t>
        </is>
      </c>
      <c r="C12" s="19" t="inlineStr">
        <is>
          <t>BMC Oral Health (Journal)</t>
        </is>
      </c>
      <c r="D12" s="19" t="n">
        <v>2024</v>
      </c>
      <c r="E12" s="19" t="inlineStr">
        <is>
          <t>Domenico Albano et al.</t>
        </is>
      </c>
      <c r="F12" s="18" t="inlineStr">
        <is>
          <t>Artificial intelligence for radiographic imaging detection of caries lesions: a systematic review</t>
        </is>
      </c>
      <c r="G12" s="19" t="inlineStr">
        <is>
          <t>Not reported in paper (systematic review; includes ANN, CNN, DCNN across studies)</t>
        </is>
      </c>
      <c r="H12" s="19" t="inlineStr">
        <is>
          <t>20 included studies using periapical, bitewing, and panoramic radiographs</t>
        </is>
      </c>
      <c r="I12" s="19" t="inlineStr">
        <is>
          <t>Individual studies range: 15 – 2900 images</t>
        </is>
      </c>
      <c r="J12" s="19" t="inlineStr">
        <is>
          <t>Sensitivity, Specificity, Accuracy, Precision, F1, Dice, IoU, AUC</t>
        </is>
      </c>
      <c r="K12" s="19" t="inlineStr">
        <is>
          <t>Best ranges reported: Accuracy up to 0.98, AUC up to 0.98</t>
        </is>
      </c>
      <c r="L12" s="19" t="inlineStr">
        <is>
          <t>PRISMA systematic review, QUADAS-2 risk of bias</t>
        </is>
      </c>
      <c r="M12" s="19" t="inlineStr">
        <is>
          <t>Not reported in paper</t>
        </is>
      </c>
      <c r="N12" s="19" t="inlineStr">
        <is>
          <t>High heterogeneity of datasets; small sample sizes; lack of standardization; limited external validation</t>
        </is>
      </c>
      <c r="O12" s="19" t="inlineStr">
        <is>
          <t>Authors explicitly call for large, standardized, clinically meaningful datasets and multicenter validation</t>
        </is>
      </c>
      <c r="P12" s="19" t="inlineStr">
        <is>
          <t>Our system is a single unified end-to-end multi-task model, not just a literature synthesis; supports detection + segmentation + prognosis with explainability</t>
        </is>
      </c>
      <c r="Q12" s="19" t="inlineStr">
        <is>
          <t>This review aggregates real clinical evidence across 20 studies, far larger than our current experimental validation</t>
        </is>
      </c>
      <c r="R12" s="19" t="inlineStr">
        <is>
          <t>C1 – Caries Detection &amp; Severity</t>
        </is>
      </c>
      <c r="S12" s="17" t="n">
        <v>4</v>
      </c>
      <c r="T12" s="17" t="n">
        <v>5</v>
      </c>
      <c r="U12" s="17" t="n">
        <v>3</v>
      </c>
      <c r="V12" s="17" t="n">
        <v>4</v>
      </c>
      <c r="W12" s="17" t="n">
        <v>5</v>
      </c>
      <c r="X12" s="17" t="n">
        <v>4.15</v>
      </c>
      <c r="Y12" s="17" t="n">
        <v>4.15</v>
      </c>
    </row>
    <row r="13">
      <c r="A13" s="19" t="inlineStr">
        <is>
          <t>Paper 12</t>
        </is>
      </c>
      <c r="B13" s="19" t="inlineStr">
        <is>
          <t>DenseNet201-Powered Dental Radiograph Classification: A Deep Learning Approach for Multi-class Dental Pathology Detection</t>
        </is>
      </c>
      <c r="C13" s="19" t="inlineStr">
        <is>
          <t>ICPC2T – IEEE Conference</t>
        </is>
      </c>
      <c r="D13" s="19" t="n">
        <v>2025</v>
      </c>
      <c r="E13" s="19" t="inlineStr">
        <is>
          <t>Pratham Kaushik, Pooja Sharma</t>
        </is>
      </c>
      <c r="F13" s="18" t="inlineStr">
        <is>
          <t>DenseNet201-Powered Dental Radiograph Classification: A Deep Learning Approach for Multi-class Dental Pathology Detection | Semantic Scholar</t>
        </is>
      </c>
      <c r="G13" s="19" t="inlineStr">
        <is>
          <t>DenseNet201 (transfer learning)</t>
        </is>
      </c>
      <c r="H13" s="19" t="inlineStr">
        <is>
          <t>Private dental X-ray dataset</t>
        </is>
      </c>
      <c r="I13" s="19" t="inlineStr">
        <is>
          <t>29,815 X-ray images (Normal, Filling, Implant, Cavity, Impacted)</t>
        </is>
      </c>
      <c r="J13" s="19" t="inlineStr">
        <is>
          <t>Accuracy, F1-score</t>
        </is>
      </c>
      <c r="K13" s="19" t="inlineStr">
        <is>
          <t>Overall accuracy = 91%; F1 for cavity = 0.27</t>
        </is>
      </c>
      <c r="L13" s="19" t="inlineStr">
        <is>
          <t>Train/validation/test split (85.3/9.1/5.6)</t>
        </is>
      </c>
      <c r="M13" s="19" t="inlineStr">
        <is>
          <t>Not reported in paper</t>
        </is>
      </c>
      <c r="N13" s="19" t="inlineStr">
        <is>
          <t>Severe class imbalance; poor cavity performance; no localization; no segmentation; no clinical validation</t>
        </is>
      </c>
      <c r="O13" s="19" t="inlineStr">
        <is>
          <t>Authors explicitly propose attention mechanisms and larger balanced datasets for minority classes</t>
        </is>
      </c>
      <c r="P13" s="19" t="inlineStr">
        <is>
          <t>Our system performs object detection + segmentation + grading + bone loss + prognosis, while this paper only performs image-level classification</t>
        </is>
      </c>
      <c r="Q13" s="19" t="inlineStr">
        <is>
          <t>This paper uses a very large dataset (29k images), much larger than our current dataset</t>
        </is>
      </c>
      <c r="R13" s="19" t="inlineStr">
        <is>
          <t>C1 – Caries Detection &amp; Severity</t>
        </is>
      </c>
      <c r="S13" s="17" t="n">
        <v>2</v>
      </c>
      <c r="T13" s="17" t="n">
        <v>5</v>
      </c>
      <c r="U13" s="17" t="n">
        <v>2</v>
      </c>
      <c r="V13" s="17" t="n">
        <v>4</v>
      </c>
      <c r="W13" s="17" t="n">
        <v>4</v>
      </c>
      <c r="X13" s="17" t="n">
        <v>3.35</v>
      </c>
      <c r="Y13" s="17" t="n">
        <v>3.5</v>
      </c>
    </row>
    <row r="14">
      <c r="A14" s="19" t="inlineStr">
        <is>
          <t>Paper 13</t>
        </is>
      </c>
      <c r="B14" s="19" t="inlineStr">
        <is>
          <t>CariesXrays: Enhancing Caries Detection in Hospital-Scale Panoramic Dental X-rays via Feature Pyramid Contrastive Learning</t>
        </is>
      </c>
      <c r="C14" s="19" t="inlineStr">
        <is>
          <t>AAAI Conference on Artificial Intelligence</t>
        </is>
      </c>
      <c r="D14" s="19" t="n">
        <v>2024</v>
      </c>
      <c r="E14" s="19" t="inlineStr">
        <is>
          <t>Bingzhi Chen et al.</t>
        </is>
      </c>
      <c r="F14" s="18" t="inlineStr">
        <is>
          <t>CariesXrays: Enhancing Caries Detection in Hospital-scale Panoramic Dental X-rays via Feature Pyramid Contrastive Learning</t>
        </is>
      </c>
      <c r="G14" s="19" t="inlineStr">
        <is>
          <t>FPCL (Faster R-CNN + Dual-directional FPN + Contrastive Learning)</t>
        </is>
      </c>
      <c r="H14" s="19" t="inlineStr">
        <is>
          <t>CariesXrays public dataset</t>
        </is>
      </c>
      <c r="I14" s="19" t="inlineStr">
        <is>
          <t>6,000 panoramic X-rays, 13,783 caries bounding boxes</t>
        </is>
      </c>
      <c r="J14" s="19" t="inlineStr">
        <is>
          <t>AP, AP50, AP75</t>
        </is>
      </c>
      <c r="K14" s="19" t="inlineStr">
        <is>
          <t>FPCL: AP = 48.2%, AP50 = 84.1%, AP75 = 50.6%</t>
        </is>
      </c>
      <c r="L14" s="19" t="inlineStr">
        <is>
          <t>Internal train/test split (4800/1200)</t>
        </is>
      </c>
      <c r="M14" s="19" t="inlineStr">
        <is>
          <t>Attention visualization shown in feature maps</t>
        </is>
      </c>
      <c r="N14" s="19" t="inlineStr">
        <is>
          <t>Only caries detection; no severity grading; no periodontal analysis; no prognosis</t>
        </is>
      </c>
      <c r="O14" s="19" t="inlineStr">
        <is>
          <t>Authors explicitly state future work on other oral diseases beyond caries</t>
        </is>
      </c>
      <c r="P14" s="19" t="inlineStr">
        <is>
          <t>Our system supports multi-disease pipeline (caries + periodontal + prognosis) and YOLOv8 real-time detection + segmentation</t>
        </is>
      </c>
      <c r="Q14" s="19" t="inlineStr">
        <is>
          <t>This paper provides a large public benchmark dataset and strong detection accuracy</t>
        </is>
      </c>
      <c r="R14" s="19" t="inlineStr">
        <is>
          <t>C1 – Caries Detection &amp; Severity</t>
        </is>
      </c>
      <c r="S14" s="17" t="n">
        <v>2</v>
      </c>
      <c r="T14" s="17" t="n">
        <v>5</v>
      </c>
      <c r="U14" s="17" t="n">
        <v>3</v>
      </c>
      <c r="V14" s="17" t="n">
        <v>4</v>
      </c>
      <c r="W14" s="17" t="n">
        <v>3</v>
      </c>
      <c r="X14" s="17" t="n">
        <v>3.45</v>
      </c>
      <c r="Y14" s="17" t="n">
        <v>3.65</v>
      </c>
    </row>
    <row r="15">
      <c r="A15" s="19" t="inlineStr">
        <is>
          <t>Paper 14</t>
        </is>
      </c>
      <c r="B15" s="19" t="inlineStr">
        <is>
          <t>AI-Dentify: Deep Learning for Proximal Caries Detection on Bitewing X-ray – HUNT4 Oral Health Study</t>
        </is>
      </c>
      <c r="C15" s="19" t="inlineStr">
        <is>
          <t>BMC Oral Health (Journal)</t>
        </is>
      </c>
      <c r="D15" s="19" t="n">
        <v>2024</v>
      </c>
      <c r="E15" s="19" t="inlineStr">
        <is>
          <t>Javier Pérez de Frutos et al.</t>
        </is>
      </c>
      <c r="F15" s="18" t="inlineStr">
        <is>
          <t>AI-Dentify: deep learning for proximal caries detection on bitewing x-ray - HUNT4 Oral Health Study</t>
        </is>
      </c>
      <c r="G15" s="19" t="inlineStr">
        <is>
          <t>RetinaNet (ResNet50), YOLOv5 (M), EfficientDet (D0/D1)</t>
        </is>
      </c>
      <c r="H15" s="19" t="inlineStr">
        <is>
          <t>HUNT4 Oral Health Study</t>
        </is>
      </c>
      <c r="I15" s="19" t="inlineStr">
        <is>
          <t>13,887 bitewing X-rays; 197 consensus test images</t>
        </is>
      </c>
      <c r="J15" s="19" t="inlineStr">
        <is>
          <t>mAP, F1-score, False Negative Rate</t>
        </is>
      </c>
      <c r="K15" s="19" t="inlineStr">
        <is>
          <t>YOLOv5: mAP = 0.647, F1 = 0.548</t>
        </is>
      </c>
      <c r="L15" s="19" t="inlineStr">
        <is>
          <t>5-fold cross validation + expert consensus test set</t>
        </is>
      </c>
      <c r="M15" s="19" t="inlineStr">
        <is>
          <t>Not reported in paper</t>
        </is>
      </c>
      <c r="N15" s="19" t="inlineStr">
        <is>
          <t>Only bitewing modality; no panoramic; no segmentation; no periodontal disease</t>
        </is>
      </c>
      <c r="O15" s="19" t="inlineStr">
        <is>
          <t>Authors explicitly state need for better datasets and handling artifacts</t>
        </is>
      </c>
      <c r="P15" s="19" t="inlineStr">
        <is>
          <t>Our system supports panoramic + bitewing, plus segmentation, severity grading, bone loss, prognosis, explainability</t>
        </is>
      </c>
      <c r="Q15" s="19" t="inlineStr">
        <is>
          <t>This paper has strong real clinical validation with 13k images and expert consensus</t>
        </is>
      </c>
      <c r="R15" s="19" t="inlineStr">
        <is>
          <t>C1 – Caries Detection &amp; Severity</t>
        </is>
      </c>
      <c r="S15" s="17" t="n">
        <v>4</v>
      </c>
      <c r="T15" s="17" t="n">
        <v>5</v>
      </c>
      <c r="U15" s="17" t="n">
        <v>4</v>
      </c>
      <c r="V15" s="17" t="n">
        <v>4</v>
      </c>
      <c r="W15" s="17" t="n">
        <v>2</v>
      </c>
      <c r="X15" s="17" t="n">
        <v>4.05</v>
      </c>
      <c r="Y15" s="17" t="n">
        <v>4.1</v>
      </c>
    </row>
    <row r="16">
      <c r="A16" s="19" t="inlineStr">
        <is>
          <t>Paper 15</t>
        </is>
      </c>
      <c r="B16" s="19" t="inlineStr">
        <is>
          <t>AI-Driven Approaches for Enhancing Early Detection of Dental Caries</t>
        </is>
      </c>
      <c r="C16" s="19" t="inlineStr">
        <is>
          <t>IEEE ICICKE – International Conference on Intelligent Computing and Knowledge Extraction</t>
        </is>
      </c>
      <c r="D16" s="19" t="n">
        <v>2025</v>
      </c>
      <c r="E16" s="19" t="inlineStr">
        <is>
          <t>Sastika B., Raja Marappan</t>
        </is>
      </c>
      <c r="F16" s="18" t="inlineStr">
        <is>
          <t>AI-Driven Approaches for Enhancing Early Detection of Dental Caries</t>
        </is>
      </c>
      <c r="G16" s="19" t="inlineStr">
        <is>
          <t>Not a single model; review discusses U-Net, ResNet, YOLOv7, YOLOv8, ensemble CNNs, 3D CNNs, SimCLR + ResNet-18</t>
        </is>
      </c>
      <c r="H16" s="19" t="inlineStr">
        <is>
          <t>Not a single dataset; multiple datasets across reviewed studies (bitewing, panoramic, CBCT, intraoral, DentC, Kaggle teeth)</t>
        </is>
      </c>
      <c r="I16" s="19" t="inlineStr">
        <is>
          <t>Not reported in paper (review aggregates datasets from 40 images up to 6000+ teeth depending on cited studies)</t>
        </is>
      </c>
      <c r="J16" s="19" t="inlineStr">
        <is>
          <t>Accuracy, Precision, Recall, F1-score, ROC-AUC</t>
        </is>
      </c>
      <c r="K16" s="19" t="inlineStr">
        <is>
          <t>Reported ranges: Accuracy 85–99%, Precision 86–96%, F1-score 87–94%</t>
        </is>
      </c>
      <c r="L16" s="19" t="inlineStr">
        <is>
          <t>Systematic literature review (no original experimental validation)</t>
        </is>
      </c>
      <c r="M16" s="19" t="inlineStr">
        <is>
          <t>CAM / Grad-CAM discussed in surveyed studies</t>
        </is>
      </c>
      <c r="N16" s="19" t="inlineStr">
        <is>
          <t>Small, region-specific datasets; lack of large-scale clinical trials; black-box models; limited multimodal integration</t>
        </is>
      </c>
      <c r="O16" s="19" t="inlineStr">
        <is>
          <t>Authors explicitly state need for multi-modal imaging, large annotated datasets, multi-center clinical trials, and strong XAI integration</t>
        </is>
      </c>
      <c r="P16" s="19" t="inlineStr">
        <is>
          <t>Our system is an actual end-to-end implemented system (YOLOv8 + U-Net) performing detection + segmentation + severity + bone loss + prognosis, while this paper is only a conceptual/review framework</t>
        </is>
      </c>
      <c r="Q16" s="19" t="inlineStr">
        <is>
          <t>This paper synthesizes dozens of prior studies and metrics, providing broader literature-level evidence than our single-system evaluation</t>
        </is>
      </c>
      <c r="R16" s="19" t="inlineStr">
        <is>
          <t>C1 – Caries Detection &amp; Severity</t>
        </is>
      </c>
      <c r="S16" s="17" t="n">
        <v>2</v>
      </c>
      <c r="T16" s="17" t="n">
        <v>5</v>
      </c>
      <c r="U16" s="17" t="n">
        <v>4</v>
      </c>
      <c r="V16" s="17" t="n">
        <v>4</v>
      </c>
      <c r="W16" s="17" t="n">
        <v>2</v>
      </c>
      <c r="X16" s="17" t="n">
        <v>3.55</v>
      </c>
      <c r="Y16" s="17" t="n">
        <v>3.8</v>
      </c>
    </row>
    <row r="17">
      <c r="A17" s="19" t="inlineStr">
        <is>
          <t>Paper 16</t>
        </is>
      </c>
      <c r="B17" s="19" t="inlineStr">
        <is>
          <t>Cost-effectiveness of Artificial Intelligence for Proximal Caries Detection</t>
        </is>
      </c>
      <c r="C17" s="19" t="inlineStr">
        <is>
          <t>Journal of Dental Research</t>
        </is>
      </c>
      <c r="D17" s="19" t="n">
        <v>2021</v>
      </c>
      <c r="E17" s="19" t="inlineStr">
        <is>
          <t>F. Schwendicke et al.</t>
        </is>
      </c>
      <c r="F17" s="18" t="inlineStr">
        <is>
          <t>Cost-effectiveness of Artificial Intelligence for Proximal Caries Detection</t>
        </is>
      </c>
      <c r="G17" s="19" t="inlineStr">
        <is>
          <t>U-Net (fully convolutional neural network)</t>
        </is>
      </c>
      <c r="H17" s="19" t="inlineStr">
        <is>
          <t>Retrospective bitewing radiographs from German dental clinic</t>
        </is>
      </c>
      <c r="I17" s="19" t="inlineStr">
        <is>
          <t>Training: 3,293; Validation: 252; Test: 141 bitewing radiographs</t>
        </is>
      </c>
      <c r="J17" s="19" t="inlineStr">
        <is>
          <t>Accuracy, Sensitivity, Specificity, ICER (cost-effectiveness)</t>
        </is>
      </c>
      <c r="K17" s="19" t="inlineStr">
        <is>
          <t>AI Accuracy = 0.80; Sensitivity = 0.75; Specificity = 0.83; ICER = –13.9 €/year</t>
        </is>
      </c>
      <c r="L17" s="19" t="inlineStr">
        <is>
          <t>Internal train/val/test + Monte-Carlo microsimulation (Markov health economics model)</t>
        </is>
      </c>
      <c r="M17" s="19" t="inlineStr">
        <is>
          <t>Not reported in paper</t>
        </is>
      </c>
      <c r="N17" s="19" t="inlineStr">
        <is>
          <t>Single-center dataset; German healthcare system only; no prospective clinical trial; only proximal caries</t>
        </is>
      </c>
      <c r="O17" s="19" t="inlineStr">
        <is>
          <t>Authors explicitly call for prospective randomized clinical studies and generalization beyond German healthcare context</t>
        </is>
      </c>
      <c r="P17" s="19" t="inlineStr">
        <is>
          <t>Our system provides multi-disease diagnosis (caries + periodontal), segmentation, severity grading, bone loss estimation, and clinical decision support, while this paper only studies binary proximal caries detection</t>
        </is>
      </c>
      <c r="Q17" s="19" t="inlineStr">
        <is>
          <t>This paper has real health-economic validation, long-term simulation, and clinical cost-effectiveness evidence, which our system does not yet have</t>
        </is>
      </c>
      <c r="R17" s="19" t="inlineStr">
        <is>
          <t>C1 – Caries Detection &amp; Severity</t>
        </is>
      </c>
      <c r="S17" s="17" t="n">
        <v>5</v>
      </c>
      <c r="T17" s="17" t="n">
        <v>5</v>
      </c>
      <c r="U17" s="17" t="n">
        <v>4</v>
      </c>
      <c r="V17" s="17" t="n">
        <v>4</v>
      </c>
      <c r="W17" s="17" t="n">
        <v>3</v>
      </c>
      <c r="X17" s="17" t="n">
        <v>4.4</v>
      </c>
      <c r="Y17" s="17" t="n">
        <v>4.35</v>
      </c>
    </row>
    <row r="18">
      <c r="A18" s="19" t="inlineStr">
        <is>
          <t>Paper 17</t>
        </is>
      </c>
      <c r="B18" s="19" t="inlineStr">
        <is>
          <t>Accuracy of Artificial Intelligence in Caries Detection: A Systematic Review and Meta-analysis</t>
        </is>
      </c>
      <c r="C18" s="19" t="inlineStr">
        <is>
          <t>Head &amp; Face Medicine</t>
        </is>
      </c>
      <c r="D18" s="19" t="n">
        <v>2025</v>
      </c>
      <c r="E18" s="19" t="inlineStr">
        <is>
          <t>Alexander Maniangat Luke, Nader Nabil Fouad Rezallah</t>
        </is>
      </c>
      <c r="F18" s="18" t="inlineStr">
        <is>
          <t>Accuracy of artificial intelligence in caries detection: a systematic review and meta-analysis | Head &amp; Face Medicine | Springer Nature Link</t>
        </is>
      </c>
      <c r="G18" s="19" t="inlineStr">
        <is>
          <t>CNNs (general), EfficientNet, ResNet, AlexNet, VGG, FCNN, DCNN (various across included studies)</t>
        </is>
      </c>
      <c r="H18" s="19" t="inlineStr">
        <is>
          <t>Multiple datasets from 21 included studies (bitewing, panoramic, periapical radiographs)</t>
        </is>
      </c>
      <c r="I18" s="19" t="inlineStr">
        <is>
          <t>Ranges from 15 to 11,000 samples per study (meta-analysis total: 17,190 for sensitivity analysis)</t>
        </is>
      </c>
      <c r="J18" s="19" t="inlineStr">
        <is>
          <t>Accuracy, Sensitivity, Specificity, AUC, OR</t>
        </is>
      </c>
      <c r="K18" s="19" t="inlineStr">
        <is>
          <t>Best reported: 98.8% accuracy (De Araujo Faria et al., 2021); several studies &gt;95% accuracy</t>
        </is>
      </c>
      <c r="L18" s="19" t="inlineStr">
        <is>
          <t>Meta-analysis using PRISMA, QUADAS-2 risk of bias assessment, forest plots</t>
        </is>
      </c>
      <c r="M18" s="19" t="inlineStr">
        <is>
          <t>Not reported in paper (no Grad-CAM / attention analysis)</t>
        </is>
      </c>
      <c r="N18" s="19" t="inlineStr">
        <is>
          <t>High heterogeneity (I² ≈ 88–96%); many studies retrospective; lack of standardized datasets; patient selection bias; limited external validation</t>
        </is>
      </c>
      <c r="O18" s="19" t="inlineStr">
        <is>
          <t>Need for large standardized datasets, prospective clinical trials, better generalization across populations, integration into real clinical workflow</t>
        </is>
      </c>
      <c r="P18" s="19" t="inlineStr">
        <is>
          <t>Our system is multi-task (detection + segmentation + prognosis) while this is only single-task (caries detection); we use modern YOLOv8 + U-Net; includes explainability and clinical decision support</t>
        </is>
      </c>
      <c r="Q18" s="19" t="inlineStr">
        <is>
          <t>Our project lacks large-scale meta-analysis-level dataset and statistical validation across populations</t>
        </is>
      </c>
      <c r="R18" s="19" t="inlineStr">
        <is>
          <t xml:space="preserve">C1 – Caries Detection &amp; Severity </t>
        </is>
      </c>
      <c r="S18" s="17" t="n">
        <v>1</v>
      </c>
      <c r="T18" s="17" t="n">
        <v>5</v>
      </c>
      <c r="U18" s="17" t="n">
        <v>3</v>
      </c>
      <c r="V18" s="17" t="n">
        <v>4</v>
      </c>
      <c r="W18" s="17" t="n">
        <v>5</v>
      </c>
      <c r="X18" s="17" t="n">
        <v>3.4</v>
      </c>
      <c r="Y18" s="17" t="n">
        <v>3.7</v>
      </c>
    </row>
    <row r="19">
      <c r="A19" s="19" t="inlineStr">
        <is>
          <t>Paper 18</t>
        </is>
      </c>
      <c r="B19" s="19" t="inlineStr">
        <is>
          <t>Extraction and Evaluation of Caries in Dental X-ray using UNet: A Study</t>
        </is>
      </c>
      <c r="C19" s="19" t="inlineStr">
        <is>
          <t>IEEE ICEARS Conference</t>
        </is>
      </c>
      <c r="D19" s="19" t="n">
        <v>2025</v>
      </c>
      <c r="E19" s="19" t="inlineStr">
        <is>
          <t>Vickram A S, Mathan Muthu C M</t>
        </is>
      </c>
      <c r="F19" s="18" t="inlineStr">
        <is>
          <t>Extraction and Evaluation of Caries in Dental X-ray using UNet: A Study | IEEE Conference Publication</t>
        </is>
      </c>
      <c r="G19" s="19" t="inlineStr">
        <is>
          <t>UNet, UNet+, UNet++, SegNet</t>
        </is>
      </c>
      <c r="H19" s="19" t="inlineStr">
        <is>
          <t>Dental X-ray dataset from Mendeley (Kybic et al., 2023)</t>
        </is>
      </c>
      <c r="I19" s="19" t="inlineStr">
        <is>
          <t>500 images (400 train, 50 validation, 50 test)</t>
        </is>
      </c>
      <c r="J19" s="19" t="inlineStr">
        <is>
          <t>Jaccard, Dice, Accuracy, Precision, Sensitivity, Specificity</t>
        </is>
      </c>
      <c r="K19" s="19" t="inlineStr">
        <is>
          <t>Best: UNet+ accuracy = 98.03%, Dice = 96.77%</t>
        </is>
      </c>
      <c r="L19" s="19" t="inlineStr">
        <is>
          <t>Train/validation/test split; no external clinical validation</t>
        </is>
      </c>
      <c r="M19" s="19" t="inlineStr">
        <is>
          <t>Not reported in paper</t>
        </is>
      </c>
      <c r="N19" s="19" t="inlineStr">
        <is>
          <t>Small dataset; synthetic augmentation; no real clinical dataset; no severity grading; no multi-disease capability</t>
        </is>
      </c>
      <c r="O19" s="19" t="inlineStr">
        <is>
          <t>Performance must be validated on real clinical X-rays; extend to clinically collected datasets; improve segmentation with better enhancement</t>
        </is>
      </c>
      <c r="P19" s="19" t="inlineStr">
        <is>
          <t>Our project performs detection + grading + periodontal segmentation + prognosis, while this is only binary caries segmentation; we use object detection (YOLOv8) and XAI</t>
        </is>
      </c>
      <c r="Q19" s="19" t="inlineStr">
        <is>
          <t>Our dataset scale likely smaller than large public datasets; no reported segmentation Dice yet</t>
        </is>
      </c>
      <c r="R19" s="19" t="inlineStr">
        <is>
          <t xml:space="preserve">C1 – Caries Detection &amp; Severity  </t>
        </is>
      </c>
      <c r="S19" s="17" t="n">
        <v>2</v>
      </c>
      <c r="T19" s="17" t="n">
        <v>4</v>
      </c>
      <c r="U19" s="17" t="n">
        <v>4</v>
      </c>
      <c r="V19" s="17" t="n">
        <v>4</v>
      </c>
      <c r="W19" s="17" t="n">
        <v>5</v>
      </c>
      <c r="X19" s="17" t="n">
        <v>3.6</v>
      </c>
      <c r="Y19" s="17" t="n">
        <v>3.8</v>
      </c>
    </row>
    <row r="20">
      <c r="A20" s="19" t="inlineStr">
        <is>
          <t>Paper 19</t>
        </is>
      </c>
      <c r="B20" s="19" t="inlineStr">
        <is>
          <t>Automated quality evaluation of dental panoramic radiographs using deep learning</t>
        </is>
      </c>
      <c r="C20" s="19" t="inlineStr">
        <is>
          <t>Imaging Science in Dentistry</t>
        </is>
      </c>
      <c r="D20" s="19" t="n">
        <v>2025</v>
      </c>
      <c r="E20" s="19" t="inlineStr">
        <is>
          <t>Nazila Ameli, Masoud Miri Moghaddam, Hollis Lai, Camila Pacheco-Pereira</t>
        </is>
      </c>
      <c r="F20" s="43" t="inlineStr">
        <is>
          <t>Automated quality evaluation of dental panoramic radiographs using deep learning - PMC</t>
        </is>
      </c>
      <c r="G20" s="19" t="inlineStr">
        <is>
          <t>YOLOv8 classification models (5 separate models)</t>
        </is>
      </c>
      <c r="H20" s="19" t="inlineStr">
        <is>
          <t>Private clinical panoramic radiographs (University of Alberta)</t>
        </is>
      </c>
      <c r="I20" s="19" t="inlineStr">
        <is>
          <t>1,000 panoramic radiographs (2018–2023)</t>
        </is>
      </c>
      <c r="J20" s="19" t="inlineStr">
        <is>
          <t>Accuracy, Precision, Recall, F1-score, Cohen’s Kappa</t>
        </is>
      </c>
      <c r="K20" s="19" t="inlineStr">
        <is>
          <t>Contrast/Density Accuracy = 97.9%; Artifact = 87.2%; Overall Quality = 79.3%</t>
        </is>
      </c>
      <c r="L20" s="19" t="inlineStr">
        <is>
          <t>Train/Validation/Test split; dual dentist annotation; OMFR adjudication; Cohen’s κ</t>
        </is>
      </c>
      <c r="M20" s="19" t="inlineStr">
        <is>
          <t>Not reported in paper</t>
        </is>
      </c>
      <c r="N20" s="19" t="inlineStr">
        <is>
          <t>Not a diagnostic system; no disease detection; classification only; multiple separate models; no localization</t>
        </is>
      </c>
      <c r="O20" s="19" t="inlineStr">
        <is>
          <t>Authors state need to integrate quality assessment into broader diagnostic AI pipelines</t>
        </is>
      </c>
      <c r="P20" s="19" t="inlineStr">
        <is>
          <t>Our system performs actual disease detection, segmentation, severity grading, prognosis, not pre-diagnostic quality filtering only</t>
        </is>
      </c>
      <c r="Q20" s="19" t="inlineStr">
        <is>
          <t>This paper has formal inter-rater reliability analysis and focuses on image quality control</t>
        </is>
      </c>
      <c r="R20" s="19" t="inlineStr">
        <is>
          <t>C5 – Datasets &amp; Clinical Validation</t>
        </is>
      </c>
      <c r="S20" s="17" t="n">
        <v>1</v>
      </c>
      <c r="T20" s="17" t="n">
        <v>5</v>
      </c>
      <c r="U20" s="17" t="n">
        <v>4</v>
      </c>
      <c r="V20" s="17" t="n">
        <v>3</v>
      </c>
      <c r="W20" s="17" t="n">
        <v>4</v>
      </c>
      <c r="X20" s="17" t="n">
        <v>3.3</v>
      </c>
      <c r="Y20" s="17" t="n">
        <v>3.65</v>
      </c>
    </row>
    <row r="21">
      <c r="A21" s="19" t="inlineStr">
        <is>
          <t>Paper 20</t>
        </is>
      </c>
      <c r="B21" s="19" t="inlineStr">
        <is>
          <t>Combining public datasets for automated tooth assessment in panoramic radiographs</t>
        </is>
      </c>
      <c r="C21" s="19" t="inlineStr">
        <is>
          <t>BMC Oral Health</t>
        </is>
      </c>
      <c r="D21" s="19" t="n">
        <v>2024</v>
      </c>
      <c r="E21" s="19" t="inlineStr">
        <is>
          <t>van Nistelrooij et al.</t>
        </is>
      </c>
      <c r="F21" s="43" t="inlineStr">
        <is>
          <t>(PDF) Combining public datasets for automated tooth assessment in panoramic radiographs</t>
        </is>
      </c>
      <c r="G21" s="19" t="inlineStr">
        <is>
          <t>Mask DINO (ViT) for tooth instance segmentation + Swin-B Transformers for multi-label diagnosis</t>
        </is>
      </c>
      <c r="H21" s="19" t="inlineStr">
        <is>
          <t>OdontoAI + DENTEX (public datasets)</t>
        </is>
      </c>
      <c r="I21" s="19" t="inlineStr">
        <is>
          <t>1,661 PRs (OdontoAI) + 682 PRs (DENTEX)</t>
        </is>
      </c>
      <c r="J21" s="19" t="inlineStr">
        <is>
          <t>FROC, mAP, Accuracy, F1, AUC</t>
        </is>
      </c>
      <c r="K21" s="19" t="inlineStr">
        <is>
          <t>Tooth segmentation FROC = 0.988, mAP = 0.848; Impacted teeth AUC = 0.996</t>
        </is>
      </c>
      <c r="L21" s="19" t="inlineStr">
        <is>
          <t>5-fold cross-validation; held-out test sets</t>
        </is>
      </c>
      <c r="M21" s="19" t="inlineStr">
        <is>
          <t>Not reported in paper</t>
        </is>
      </c>
      <c r="N21" s="19" t="inlineStr">
        <is>
          <t>Two-stage pipeline slow (~40s/image); weak early caries detection; noisy annotations</t>
        </is>
      </c>
      <c r="O21" s="19" t="inlineStr">
        <is>
          <t>Authors highlight need for lesion segmentation, annotation verification, and faster pipelines</t>
        </is>
      </c>
      <c r="P21" s="19" t="inlineStr">
        <is>
          <t>Our system uses single-stage YOLOv8 detection, adds periodontal analysis, prognosis, explainability, and is clinically faster</t>
        </is>
      </c>
      <c r="Q21" s="19" t="inlineStr">
        <is>
          <t>This paper uses larger public datasets and advanced ViT-based segmentation</t>
        </is>
      </c>
      <c r="R21" s="19" t="inlineStr">
        <is>
          <t>C3 – Multi-task / End-to-End OPG Diagnosis</t>
        </is>
      </c>
      <c r="S21" s="17" t="n">
        <v>4</v>
      </c>
      <c r="T21" s="17" t="n">
        <v>5</v>
      </c>
      <c r="U21" s="17" t="n">
        <v>5</v>
      </c>
      <c r="V21" s="17" t="n">
        <v>5</v>
      </c>
      <c r="W21" s="17" t="n">
        <v>5</v>
      </c>
      <c r="X21" s="17" t="n">
        <v>4.75</v>
      </c>
      <c r="Y21" s="17" t="n">
        <v>4.9</v>
      </c>
    </row>
    <row r="22">
      <c r="A22" s="19" t="inlineStr">
        <is>
          <t>Paper 21</t>
        </is>
      </c>
      <c r="B22" s="19" t="inlineStr">
        <is>
          <t>Deep learning for tooth detection and segmentation in panoramic radiographs: a systematic review and meta-analysis</t>
        </is>
      </c>
      <c r="C22" s="19" t="inlineStr">
        <is>
          <t>BMC Oral Health</t>
        </is>
      </c>
      <c r="D22" s="19" t="n">
        <v>2025</v>
      </c>
      <c r="E22" s="19" t="inlineStr">
        <is>
          <t>M. Bonfanti-Gris, A. Herrera, M. P. Salido Rodríguez-Manzaneque, F. Martínez-Rus, G. Pradíes</t>
        </is>
      </c>
      <c r="F22" s="18" t="inlineStr">
        <is>
          <t>Deep learning for tooth detection and segmentation in panoramic radiographs: a systematic review and meta-analysis | BMC Oral Health | Springer Nature Link</t>
        </is>
      </c>
      <c r="G22" s="19" t="inlineStr">
        <is>
          <t>Multiple CNNs across studies: Faster R-CNN, ResNet, VGG-16, YOLO, Mask R-CNN, Inception V2/V3, UNet, AlexNet, DetectNet, SqueezeNet, DeepLabv3, SwinNet, EfficientNet, YOLOv5, DeepLabV3Plus</t>
        </is>
      </c>
      <c r="H22" s="19" t="inlineStr">
        <is>
          <t>20 studies using private and public panoramic radiograph datasets</t>
        </is>
      </c>
      <c r="I22" s="19" t="inlineStr">
        <is>
          <t>Per study: mostly 500–1500 OPGs; smallest 50 OPGs; largest 4545 OPGs; meta-analysis included 6 studies with 14 models</t>
        </is>
      </c>
      <c r="J22" s="19" t="inlineStr">
        <is>
          <t>Sensitivity, Specificity, Precision, Recall, F1, mAP, mAR, IoU, AUC, DOR</t>
        </is>
      </c>
      <c r="K22" s="19" t="inlineStr">
        <is>
          <t>Pooled (meta-analysis): Sensitivity = 0.92 (CI 0.84–0.96), Specificity = 0.94 (CI 0.89–0.97), DOR = 186</t>
        </is>
      </c>
      <c r="L22" s="19" t="inlineStr">
        <is>
          <t>Meta-analysis with QUADAS-2 risk of bias, GRADE assessment, PRISMA-DTA protocol, forest plots, HSROC</t>
        </is>
      </c>
      <c r="M22" s="19" t="inlineStr">
        <is>
          <t>Not reported in paper</t>
        </is>
      </c>
      <c r="N22" s="19" t="inlineStr">
        <is>
          <t>High heterogeneity (I² ≈ 96%); lack of standardized datasets; many studies single-center; inconsistent reference standards; limited external validation; poor generalizability</t>
        </is>
      </c>
      <c r="O22" s="19" t="inlineStr">
        <is>
          <t>Need large multicenter datasets; standardized benchmarks (STARD-AI, CLAIM); external clinical validation; better reference standards; interpretability and clinician trust</t>
        </is>
      </c>
      <c r="P22" s="19" t="inlineStr">
        <is>
          <t>Our system performs disease-level diagnosis (caries + periodontal) and prognosis, while this paper only evaluates tooth detection/segmentation infrastructure</t>
        </is>
      </c>
      <c r="Q22" s="19" t="inlineStr">
        <is>
          <t>Our project does not yet have meta-analysis-level evidence or pooled diagnostic statistics</t>
        </is>
      </c>
      <c r="R22" s="19" t="inlineStr">
        <is>
          <t>C6 – Tooth Segmentation &amp; Numbering</t>
        </is>
      </c>
      <c r="S22" s="17" t="n">
        <v>4</v>
      </c>
      <c r="T22" s="17" t="n">
        <v>5</v>
      </c>
      <c r="U22" s="17" t="n">
        <v>5</v>
      </c>
      <c r="V22" s="17" t="n">
        <v>2</v>
      </c>
      <c r="W22" s="17" t="n">
        <v>5</v>
      </c>
      <c r="X22" s="17" t="n">
        <v>4.15</v>
      </c>
      <c r="Y22" s="17" t="n">
        <v>4.5</v>
      </c>
    </row>
    <row r="23">
      <c r="A23" s="19" t="inlineStr">
        <is>
          <t>Paper 22</t>
        </is>
      </c>
      <c r="B23" s="19" t="inlineStr">
        <is>
          <t>Comparative Evaluation of Images of Alveolar Bone Loss Using Panoramic Images and Artificial Intelligence</t>
        </is>
      </c>
      <c r="C23" s="19" t="inlineStr">
        <is>
          <t>Engineering Proceedings (MDPI)</t>
        </is>
      </c>
      <c r="D23" s="19" t="n">
        <v>2025</v>
      </c>
      <c r="E23" s="19" t="inlineStr">
        <is>
          <t>Ankita Mathur, Sushil Pawar, Praveen K. G. Kamma, Vishnu T. Obulareddy, Kabir S. Dash, Aida Meto, Vini Mehta</t>
        </is>
      </c>
      <c r="F23" s="18" t="inlineStr">
        <is>
          <t>Comparative Evaluation of Images of Alveolar Bone Loss Using Panoramic Images and Artificial Intelligence</t>
        </is>
      </c>
      <c r="G23" s="19" t="inlineStr">
        <is>
          <t>VGG-16 based CNN (transfer learning)</t>
        </is>
      </c>
      <c r="H23" s="19" t="inlineStr">
        <is>
          <t>Private institutional panoramic radiographs</t>
        </is>
      </c>
      <c r="I23" s="19" t="inlineStr">
        <is>
          <t>1,874 OPGs (953 bone loss, 921 normal)</t>
        </is>
      </c>
      <c r="J23" s="19" t="inlineStr">
        <is>
          <t>Accuracy, Sensitivity, Specificity, Precision, F1-score</t>
        </is>
      </c>
      <c r="K23" s="19" t="inlineStr">
        <is>
          <t>Accuracy = 89.27%, Sensitivity = 83.27%, Specificity = 86.83%</t>
        </is>
      </c>
      <c r="L23" s="19" t="inlineStr">
        <is>
          <t>Train/validation/test split; confusion matrix; expert-labeled ground truth</t>
        </is>
      </c>
      <c r="M23" s="19" t="inlineStr">
        <is>
          <t>Not reported in paper</t>
        </is>
      </c>
      <c r="N23" s="19" t="inlineStr">
        <is>
          <t>Binary classification only; no severity grading; no lesion localization; single-center dataset; no external validation</t>
        </is>
      </c>
      <c r="O23" s="19" t="inlineStr">
        <is>
          <t>Need fully automated periodontal case detection with clinical validation; need quantitative bone loss estimation instead of binary labels</t>
        </is>
      </c>
      <c r="P23" s="19" t="inlineStr">
        <is>
          <t>Our system performs bone loss segmentation, quantitative estimation, severity grading, multi-disease diagnosis, and explainability</t>
        </is>
      </c>
      <c r="Q23" s="19" t="inlineStr">
        <is>
          <t>Our project lacks large clinical dataset and statistical validation like this study</t>
        </is>
      </c>
      <c r="R23" s="19" t="inlineStr">
        <is>
          <t xml:space="preserve">C2 – Periodontal Disease &amp; Bone Loss </t>
        </is>
      </c>
      <c r="S23" s="17" t="n">
        <v>3</v>
      </c>
      <c r="T23" s="17" t="n">
        <v>5</v>
      </c>
      <c r="U23" s="17" t="n">
        <v>3</v>
      </c>
      <c r="V23" s="17" t="n">
        <v>4</v>
      </c>
      <c r="W23" s="17" t="n">
        <v>5</v>
      </c>
      <c r="X23" s="17" t="n">
        <v>3.9</v>
      </c>
      <c r="Y23" s="17" t="n">
        <v>4.15</v>
      </c>
    </row>
    <row r="24">
      <c r="A24" s="19" t="inlineStr">
        <is>
          <t>Paper 23</t>
        </is>
      </c>
      <c r="B24" s="19" t="inlineStr">
        <is>
          <t>Detection of Periodontal Bone Loss and Periodontitis from 2D Dental Radiographs via Machine Learning and Deep Learning: A Systematic Review and Meta-analysis</t>
        </is>
      </c>
      <c r="C24" s="19" t="inlineStr">
        <is>
          <t>Dentomaxillofacial Radiology (Oxford)</t>
        </is>
      </c>
      <c r="D24" s="19" t="n">
        <v>2025</v>
      </c>
      <c r="E24" s="19" t="inlineStr">
        <is>
          <t>Yahia H. Khubrani et al.</t>
        </is>
      </c>
      <c r="F24" s="18" t="inlineStr">
        <is>
          <t>Detection of periodontal bone loss and periodontitis from 2D dental radiographs via machine learning and deep learning: systematic review employing APPRAISE-AI and meta-analysis | Dentomaxillofacial Radiology | Oxford Academic</t>
        </is>
      </c>
      <c r="G24" s="19" t="inlineStr">
        <is>
          <t>Multiple models across studies: CNN, ResNet, VGG, U-Net, Mask R-CNN, YOLO, SVM, GAN, Inception</t>
        </is>
      </c>
      <c r="H24" s="19" t="inlineStr">
        <is>
          <t>30 studies using panoramic, periapical, bitewing radiographs</t>
        </is>
      </c>
      <c r="I24" s="19" t="inlineStr">
        <is>
          <t>Per study: 50–4,545 images; meta-analysis included 10 studies</t>
        </is>
      </c>
      <c r="J24" s="19" t="inlineStr">
        <is>
          <t>Sensitivity, Specificity, Accuracy, AUC, F1, Dice, IoU</t>
        </is>
      </c>
      <c r="K24" s="19" t="inlineStr">
        <is>
          <t>Pooled: Sensitivity = 87%, Specificity = 76%, Accuracy = 84%</t>
        </is>
      </c>
      <c r="L24" s="19" t="inlineStr">
        <is>
          <t>PRISMA systematic review, APPRAISE-AI tool, random-effects meta-analysis</t>
        </is>
      </c>
      <c r="M24" s="19" t="inlineStr">
        <is>
          <t>Not reported in paper</t>
        </is>
      </c>
      <c r="N24" s="19" t="inlineStr">
        <is>
          <t>High heterogeneity; poor reporting standards; lack of external validation; most studies single-center; binary bone loss only</t>
        </is>
      </c>
      <c r="O24" s="19" t="inlineStr">
        <is>
          <t>Need standardized datasets, multicenter studies, prospective clinical validation, explainable AI</t>
        </is>
      </c>
      <c r="P24" s="19" t="inlineStr">
        <is>
          <t>Our system is end-to-end clinical diagnostic system with segmentation, prognosis, multi-task learning, and XAI</t>
        </is>
      </c>
      <c r="Q24" s="19" t="inlineStr">
        <is>
          <t>Our project lacks meta-analysis-level statistical evidence and pooled diagnostic performance</t>
        </is>
      </c>
      <c r="R24" s="19" t="inlineStr">
        <is>
          <t>C2 – Periodontal Disease &amp; Bone Loss</t>
        </is>
      </c>
      <c r="S24" s="17" t="n">
        <v>1</v>
      </c>
      <c r="T24" s="17" t="n">
        <v>5</v>
      </c>
      <c r="U24" s="17" t="n">
        <v>5</v>
      </c>
      <c r="V24" s="17" t="n">
        <v>4</v>
      </c>
      <c r="W24" s="17" t="n">
        <v>5</v>
      </c>
      <c r="X24" s="17" t="n">
        <v>3.8</v>
      </c>
      <c r="Y24" s="17" t="n">
        <v>4.45</v>
      </c>
    </row>
    <row r="25">
      <c r="A25" s="19" t="inlineStr">
        <is>
          <t>Paper 24</t>
        </is>
      </c>
      <c r="B25" s="19" t="inlineStr">
        <is>
          <t>Development and Validation of a Polyfit Approach for Assessing Alveolar Bone Loss Using Panoramic Radiography</t>
        </is>
      </c>
      <c r="C25" s="19" t="inlineStr">
        <is>
          <t>BMC Oral Health</t>
        </is>
      </c>
      <c r="D25" s="19" t="n">
        <v>2025</v>
      </c>
      <c r="E25" s="19" t="inlineStr">
        <is>
          <t>Erkang Tian, Jiawei Hong et al.</t>
        </is>
      </c>
      <c r="F25" s="18" t="inlineStr">
        <is>
          <t>Development and validation of a polyfit approach for assessing alveolar bone loss using panoramic radiography | BMC Oral Health | Springer Nature Link</t>
        </is>
      </c>
      <c r="G25" s="19" t="inlineStr">
        <is>
          <t>PAN-POL mathematical model (polyfit function, not deep learning)</t>
        </is>
      </c>
      <c r="H25" s="19" t="inlineStr">
        <is>
          <t>PAN + CBCT from West China Hospital</t>
        </is>
      </c>
      <c r="I25" s="19" t="inlineStr">
        <is>
          <t>290 PAN patients; 30 CBCT for validation</t>
        </is>
      </c>
      <c r="J25" s="19" t="inlineStr">
        <is>
          <t>ICC, Pearson correlation, statistical tests</t>
        </is>
      </c>
      <c r="K25" s="19" t="inlineStr">
        <is>
          <t>ICC = 0.83 (PAN), 0.93 (CBCT)</t>
        </is>
      </c>
      <c r="L25" s="19" t="inlineStr">
        <is>
          <t>Comparison with CBCT measurements; statistical correlation</t>
        </is>
      </c>
      <c r="M25" s="19" t="inlineStr">
        <is>
          <t>Not reported in paper</t>
        </is>
      </c>
      <c r="N25" s="19" t="inlineStr">
        <is>
          <t>Not a deep learning model; manual landmark annotation; not automated; no lesion detection</t>
        </is>
      </c>
      <c r="O25" s="19" t="inlineStr">
        <is>
          <t>Need fully automated AI-based segmentation and detection instead of manual polyfit approach</t>
        </is>
      </c>
      <c r="P25" s="19" t="inlineStr">
        <is>
          <t>Our system is fully automated deep learning, multi-disease, no manual annotation required</t>
        </is>
      </c>
      <c r="Q25" s="19" t="inlineStr">
        <is>
          <t>Our project does not yet have CBCT-based validation</t>
        </is>
      </c>
      <c r="R25" s="19" t="inlineStr">
        <is>
          <t>C2 – Periodontal Disease &amp; Bone Loss</t>
        </is>
      </c>
      <c r="S25" s="17" t="n">
        <v>4</v>
      </c>
      <c r="T25" s="17" t="n">
        <v>3</v>
      </c>
      <c r="U25" s="17" t="n">
        <v>2</v>
      </c>
      <c r="V25" s="17" t="n">
        <v>4</v>
      </c>
      <c r="W25" s="17" t="n">
        <v>2</v>
      </c>
      <c r="X25" s="17" t="n">
        <v>3.15</v>
      </c>
      <c r="Y25" s="17" t="n">
        <v>2.8</v>
      </c>
    </row>
    <row r="26">
      <c r="A26" s="19" t="inlineStr">
        <is>
          <t>Paper 25</t>
        </is>
      </c>
      <c r="B26" s="19" t="inlineStr">
        <is>
          <t>Evaluation by Dental Professionals of an Artificial Intelligence-Based Application to Measure Alveolar Bone Loss</t>
        </is>
      </c>
      <c r="C26" s="19" t="inlineStr">
        <is>
          <t>BMC Oral Health</t>
        </is>
      </c>
      <c r="D26" s="19" t="n">
        <v>2025</v>
      </c>
      <c r="E26" s="19" t="inlineStr">
        <is>
          <t>Sang Won Lee et al.</t>
        </is>
      </c>
      <c r="F26" s="18" t="inlineStr">
        <is>
          <t>Evaluation by dental professionals of an artificial intelligence-based application to measure alveolar bone loss | BMC Oral Health | Springer Nature Link</t>
        </is>
      </c>
      <c r="G26" s="19" t="inlineStr">
        <is>
          <t>Faster R-CNN (Inception-ResNet-v2), DeepLab v3+ CNN ensemble</t>
        </is>
      </c>
      <c r="H26" s="19" t="inlineStr">
        <is>
          <t>Bitewing radiographs from Columbia University</t>
        </is>
      </c>
      <c r="I26" s="19" t="inlineStr">
        <is>
          <t>550 bitewing images (387 patients)</t>
        </is>
      </c>
      <c r="J26" s="19" t="inlineStr">
        <is>
          <t>Accuracy, AP, ICC, user survey stats</t>
        </is>
      </c>
      <c r="K26" s="19" t="inlineStr">
        <is>
          <t>AI accuracy = 82–87% for severe bone loss</t>
        </is>
      </c>
      <c r="L26" s="19" t="inlineStr">
        <is>
          <t>Train/val/test split; expert annotations; survey of 65 dentists</t>
        </is>
      </c>
      <c r="M26" s="19" t="inlineStr">
        <is>
          <t>Not reported in paper</t>
        </is>
      </c>
      <c r="N26" s="19" t="inlineStr">
        <is>
          <t>Limited to bitewing; no panoramic; no multi-disease; no prognosis; no explainability</t>
        </is>
      </c>
      <c r="O26" s="19" t="inlineStr">
        <is>
          <t>Need panoramic-based systems; multi-task disease diagnosis; integration into real clinical workflow</t>
        </is>
      </c>
      <c r="P26" s="19" t="inlineStr">
        <is>
          <t>Our system uses panoramic + bitewing, includes segmentation, prognosis, and educational summaries</t>
        </is>
      </c>
      <c r="Q26" s="19" t="inlineStr">
        <is>
          <t>Our project lacks user-based clinical usability studies</t>
        </is>
      </c>
      <c r="R26" s="19" t="inlineStr">
        <is>
          <t xml:space="preserve">C2 – Periodontal Disease &amp; Bone Loss </t>
        </is>
      </c>
      <c r="S26" s="17" t="n">
        <v>4</v>
      </c>
      <c r="T26" s="17" t="n">
        <v>4</v>
      </c>
      <c r="U26" s="17" t="n">
        <v>3</v>
      </c>
      <c r="V26" s="17" t="n">
        <v>4</v>
      </c>
      <c r="W26" s="17" t="n">
        <v>2</v>
      </c>
      <c r="X26" s="17" t="n">
        <v>3.6</v>
      </c>
      <c r="Y26" s="17" t="n">
        <v>3.35</v>
      </c>
    </row>
    <row r="27">
      <c r="A27" s="19" t="inlineStr">
        <is>
          <t>Paper 26</t>
        </is>
      </c>
      <c r="B27" s="19" t="inlineStr">
        <is>
          <t>Determining the Efficacy of a Machine Learning Model for Measuring Periodontal Bone Loss</t>
        </is>
      </c>
      <c r="C27" s="19" t="inlineStr">
        <is>
          <t>BMC Oral Health</t>
        </is>
      </c>
      <c r="D27" s="19" t="n">
        <v>2024</v>
      </c>
      <c r="E27" s="19" t="inlineStr">
        <is>
          <t>Diego Cerda Mardini, Patricio Cerda Mardini, Daniela Paz Vicuña Iturriaga, Duniel Ricardo Ortuño Borroto</t>
        </is>
      </c>
      <c r="F27" s="18" t="inlineStr">
        <is>
          <t>“Determining the efficacy of a machine learning model for measuring periodontal bone loss” | BMC Oral Health</t>
        </is>
      </c>
      <c r="G27" s="19" t="inlineStr">
        <is>
          <t>Hybrid model: Statistical inference + DCNN (Xception-based) + rule-based PBL algorithm</t>
        </is>
      </c>
      <c r="H27" s="19" t="inlineStr">
        <is>
          <t>Panoramic radiographs from Chile + Tufts University public dataset</t>
        </is>
      </c>
      <c r="I27" s="19" t="inlineStr">
        <is>
          <t>2010 segmented molar images (1970 train, 40 test) from 500 original panoramic X-rays</t>
        </is>
      </c>
      <c r="J27" s="19" t="inlineStr">
        <is>
          <t>Sensitivity, Specificity, Precision, F1-score, weighted averages</t>
        </is>
      </c>
      <c r="K27" s="19" t="inlineStr">
        <is>
          <t>Weighted F1-score = 0.29 (light–moderate PBL); Severe PBL F1 = 0</t>
        </is>
      </c>
      <c r="L27" s="19" t="inlineStr">
        <is>
          <t>Internal validation; comparison with 2 radiologists, 2 periodontists, 1 dentist</t>
        </is>
      </c>
      <c r="M27" s="19" t="inlineStr">
        <is>
          <t>Not reported in paper</t>
        </is>
      </c>
      <c r="N27" s="19" t="inlineStr">
        <is>
          <t>Cannot detect severe PBL; only molars; low sensitivity; no full panoramic analysis; no segmentation masks; not multi-disease</t>
        </is>
      </c>
      <c r="O27" s="19" t="inlineStr">
        <is>
          <t>Need improved performance for severe PBL; extend to full dentition; robust DL-only pipeline</t>
        </is>
      </c>
      <c r="P27" s="19" t="inlineStr">
        <is>
          <t>Our system performs full panoramic segmentation, multi-disease diagnosis, bone loss masks, severity grading, and prognosis</t>
        </is>
      </c>
      <c r="Q27" s="19" t="inlineStr">
        <is>
          <t>Our project lacks human-comparison clinical study and statistical benchmarking</t>
        </is>
      </c>
      <c r="R27" s="19" t="inlineStr">
        <is>
          <t>C2 – Periodontal Disease &amp; Bone Loss</t>
        </is>
      </c>
      <c r="S27" s="17" t="n">
        <v>4</v>
      </c>
      <c r="T27" s="17" t="n">
        <v>5</v>
      </c>
      <c r="U27" s="17" t="n">
        <v>3</v>
      </c>
      <c r="V27" s="17" t="n">
        <v>4</v>
      </c>
      <c r="W27" s="17" t="n">
        <v>3</v>
      </c>
      <c r="X27" s="17" t="n">
        <v>3.95</v>
      </c>
      <c r="Y27" s="17" t="n">
        <v>3.85</v>
      </c>
    </row>
    <row r="28">
      <c r="A28" s="19" t="inlineStr">
        <is>
          <t>Paper 27</t>
        </is>
      </c>
      <c r="B28" s="19" t="inlineStr">
        <is>
          <t>AI-assisted Radiographic Analysis in Detecting Alveolar Bone-Loss Severity and Patterns</t>
        </is>
      </c>
      <c r="C28" s="19" t="inlineStr">
        <is>
          <t>arXiv (Computer Vision)</t>
        </is>
      </c>
      <c r="D28" s="19" t="n">
        <v>2025</v>
      </c>
      <c r="E28" s="19" t="inlineStr">
        <is>
          <t>Chathura Wimalasiri et al.</t>
        </is>
      </c>
      <c r="F28" s="18" t="inlineStr">
        <is>
          <t>[2506.20522] AI-assisted radiographic analysis in detecting alveolar bone-loss severity and patterns</t>
        </is>
      </c>
      <c r="G28" s="19" t="inlineStr">
        <is>
          <t>YOLOv8x, Keypoint R-CNN (ResNet-50 + FPN), YOLOv8x-seg</t>
        </is>
      </c>
      <c r="H28" s="19" t="inlineStr">
        <is>
          <t>DenPAR dataset (IOPA radiographs)</t>
        </is>
      </c>
      <c r="I28" s="19" t="inlineStr">
        <is>
          <t>1000 intraoral periapical X-rays</t>
        </is>
      </c>
      <c r="J28" s="19" t="inlineStr">
        <is>
          <t>ICC, Accuracy</t>
        </is>
      </c>
      <c r="K28" s="19" t="inlineStr">
        <is>
          <t>ICC = 0.80 (severity), Pattern classification accuracy = 87%</t>
        </is>
      </c>
      <c r="L28" s="19" t="inlineStr">
        <is>
          <t>Train/val/test split (65/15/20); expert-annotated dataset</t>
        </is>
      </c>
      <c r="M28" s="19" t="inlineStr">
        <is>
          <t>Not reported in paper</t>
        </is>
      </c>
      <c r="N28" s="19" t="inlineStr">
        <is>
          <t>Only intraoral periapical X-rays; no panoramic; no caries; no prognosis; no explainability</t>
        </is>
      </c>
      <c r="O28" s="19" t="inlineStr">
        <is>
          <t>Need panoramic-based system; integrate multi-disease diagnosis; clinical usability evaluation</t>
        </is>
      </c>
      <c r="P28" s="19" t="inlineStr">
        <is>
          <t>Our system uses panoramic + bitewing, includes caries detection, segmentation, prognosis, and XAI</t>
        </is>
      </c>
      <c r="Q28" s="19" t="inlineStr">
        <is>
          <t>Our project does not yet perform bone loss pattern classification (horizontal/vertical)</t>
        </is>
      </c>
      <c r="R28" s="19" t="inlineStr">
        <is>
          <t xml:space="preserve">C2 – Periodontal Disease &amp; Bone Loss </t>
        </is>
      </c>
      <c r="S28" s="17" t="n">
        <v>1</v>
      </c>
      <c r="T28" s="17" t="n">
        <v>5</v>
      </c>
      <c r="U28" s="17" t="n">
        <v>4</v>
      </c>
      <c r="V28" s="17" t="n">
        <v>4</v>
      </c>
      <c r="W28" s="17" t="n">
        <v>2</v>
      </c>
      <c r="X28" s="17" t="n">
        <v>3.3</v>
      </c>
      <c r="Y28" s="17" t="n">
        <v>3.6</v>
      </c>
    </row>
    <row r="29">
      <c r="A29" s="19" t="inlineStr">
        <is>
          <t>Paper 28</t>
        </is>
      </c>
      <c r="B29" s="19" t="inlineStr">
        <is>
          <t>Integrating Super-Resolution with Deep Learning for Enhanced Periodontal Bone Loss Segmentation in Panoramic Radiographs</t>
        </is>
      </c>
      <c r="C29" s="19" t="inlineStr">
        <is>
          <t>Bioengineering (MDPI)</t>
        </is>
      </c>
      <c r="D29" s="19" t="n">
        <v>2024</v>
      </c>
      <c r="E29" s="19" t="inlineStr">
        <is>
          <t>Vungsovanreach Kong, Eun Young Lee, Kyung Ah Kim, Ho Sun Shon</t>
        </is>
      </c>
      <c r="F29" s="18" t="inlineStr">
        <is>
          <t>Integrating Super-Resolution with Deep Learning for Enhanced Periodontal Bone Loss Segmentation in Panoramic Radiographs</t>
        </is>
      </c>
      <c r="G29" s="19" t="inlineStr">
        <is>
          <t>SRGAN (ResNet generator) + U-Net</t>
        </is>
      </c>
      <c r="H29" s="19" t="inlineStr">
        <is>
          <t>CBNUH Hospital + Kaggle public dataset</t>
        </is>
      </c>
      <c r="I29" s="19" t="inlineStr">
        <is>
          <t>100 CBNUH + 598 Kaggle (augmented to 600)</t>
        </is>
      </c>
      <c r="J29" s="19" t="inlineStr">
        <is>
          <t>PSNR, SSIM, Dice, IoU</t>
        </is>
      </c>
      <c r="K29" s="19" t="inlineStr">
        <is>
          <t>Dice = 0.91, IoU = 84.9% (SRGAN+U-Net)</t>
        </is>
      </c>
      <c r="L29" s="19" t="inlineStr">
        <is>
          <t>Train/test split (70/30); manual mask labels</t>
        </is>
      </c>
      <c r="M29" s="19" t="inlineStr">
        <is>
          <t>Not reported in paper</t>
        </is>
      </c>
      <c r="N29" s="19" t="inlineStr">
        <is>
          <t>Only segmentation; no detection; no severity grading; no multi-disease; small dataset</t>
        </is>
      </c>
      <c r="O29" s="19" t="inlineStr">
        <is>
          <t>Need larger diverse datasets; integrate detection + clinical interpretation</t>
        </is>
      </c>
      <c r="P29" s="19" t="inlineStr">
        <is>
          <t>Our system performs detection + grading + prognosis + multi-task diagnosis</t>
        </is>
      </c>
      <c r="Q29" s="19" t="inlineStr">
        <is>
          <t>Our project does not use super-resolution and may have lower segmentation quality</t>
        </is>
      </c>
      <c r="R29" s="19" t="inlineStr">
        <is>
          <t>C2 – Periodontal Disease &amp; Bone Loss</t>
        </is>
      </c>
      <c r="S29" s="17" t="n">
        <v>3</v>
      </c>
      <c r="T29" s="17" t="n">
        <v>4</v>
      </c>
      <c r="U29" s="17" t="n">
        <v>4</v>
      </c>
      <c r="V29" s="17" t="n">
        <v>4</v>
      </c>
      <c r="W29" s="17" t="n">
        <v>2</v>
      </c>
      <c r="X29" s="17" t="n">
        <v>3.55</v>
      </c>
      <c r="Y29" s="17" t="n">
        <v>3.5</v>
      </c>
    </row>
    <row r="30">
      <c r="A30" s="19" t="inlineStr">
        <is>
          <t>Paper 29</t>
        </is>
      </c>
      <c r="B30" s="19" t="inlineStr">
        <is>
          <t>Applications of Deep Learning in Periodontal Disease Diagnosis and Management: A Systematic Review and Critical Appraisal</t>
        </is>
      </c>
      <c r="C30" s="19" t="inlineStr">
        <is>
          <t>Journal of Medical Artificial Intelligence (AME)</t>
        </is>
      </c>
      <c r="D30" s="19" t="n">
        <v>2025</v>
      </c>
      <c r="E30" s="19" t="inlineStr">
        <is>
          <t>Elisabetta Ferrara, Biagio Rapone, Alessandro D’Albenzio</t>
        </is>
      </c>
      <c r="F30" s="18" t="inlineStr">
        <is>
          <t>Applications of deep learning in periodontal disease diagnosis and management: a systematic review and critical appraisal</t>
        </is>
      </c>
      <c r="G30" s="19" t="inlineStr">
        <is>
          <t>CNNs and hybrid deep learning architectures (across reviewed studies; no single model proposed)</t>
        </is>
      </c>
      <c r="H30" s="19" t="inlineStr">
        <is>
          <t>13 studies using panoramic, periapical radiographs and clinical datasets</t>
        </is>
      </c>
      <c r="I30" s="19" t="inlineStr">
        <is>
          <t>Per study: 50–4,545 images (no unified dataset)</t>
        </is>
      </c>
      <c r="J30" s="19" t="inlineStr">
        <is>
          <t>Accuracy, Dice, ICC, Sensitivity, Specificity</t>
        </is>
      </c>
      <c r="K30" s="19" t="inlineStr">
        <is>
          <t>Reported range: Accuracy 73.0% – 98.6%; best Dice = 0.93 for bone level detection; ICC = 0.91 with radiologists</t>
        </is>
      </c>
      <c r="L30" s="19" t="inlineStr">
        <is>
          <t>PRISMA systematic review; QUADAS-2 quality assessment</t>
        </is>
      </c>
      <c r="M30" s="19" t="inlineStr">
        <is>
          <t>Not reported in paper</t>
        </is>
      </c>
      <c r="N30" s="19" t="inlineStr">
        <is>
          <t>High heterogeneity; poor generalizability across populations; lack of standardized datasets; limited external clinical validation; absence of explainable AI</t>
        </is>
      </c>
      <c r="O30" s="19" t="inlineStr">
        <is>
          <t>Need diverse multi-institutional datasets; standardized evaluation metrics; integration of multimodal data; rigorous clinical validation</t>
        </is>
      </c>
      <c r="P30" s="19" t="inlineStr">
        <is>
          <t>Our system is end-to-end multi-task system with detection, segmentation, grading, prognosis and explainability, while this paper is only a review of single-task systems</t>
        </is>
      </c>
      <c r="Q30" s="19" t="inlineStr">
        <is>
          <t>Our project lacks systematic review-level evidence and pooled diagnostic statistics</t>
        </is>
      </c>
      <c r="R30" s="19" t="inlineStr">
        <is>
          <t xml:space="preserve">C2 – Periodontal Disease &amp; Bone Loss </t>
        </is>
      </c>
      <c r="S30" s="17" t="n">
        <v>1</v>
      </c>
      <c r="T30" s="17" t="n">
        <v>5</v>
      </c>
      <c r="U30" s="17" t="n">
        <v>3</v>
      </c>
      <c r="V30" s="17" t="n">
        <v>4</v>
      </c>
      <c r="W30" s="17" t="n">
        <v>5</v>
      </c>
      <c r="X30" s="17" t="n">
        <v>3.4</v>
      </c>
      <c r="Y30" s="17" t="n">
        <v>3.95</v>
      </c>
    </row>
    <row r="31">
      <c r="A31" s="19" t="inlineStr">
        <is>
          <t>Paper 30</t>
        </is>
      </c>
      <c r="B31" s="19" t="inlineStr">
        <is>
          <t>PDCNET: Deep Convolutional Neural Network for Classification of Periodontal Disease Using Dental Radiographs</t>
        </is>
      </c>
      <c r="C31" s="19" t="inlineStr">
        <is>
          <t>IEEE Access</t>
        </is>
      </c>
      <c r="D31" s="19" t="n">
        <v>2024</v>
      </c>
      <c r="E31" s="19" t="inlineStr">
        <is>
          <t>Anas Bilal, Ali Haider Khan, Khalid Almohammadi, Sami A. Al Ghamdi, Haixia Long, Hassaan Malik</t>
        </is>
      </c>
      <c r="F31" s="18" t="inlineStr">
        <is>
          <t>PDCNET: Deep Convolutional Neural Network for Classification of Periodontal Disease Using Dental Radiographs</t>
        </is>
      </c>
      <c r="G31" s="19" t="inlineStr">
        <is>
          <t>PDCNET (custom CNN with 5 convolutional blocks, ReLU, MaxPool, Dense, Softmax); compared with EfficientNet-B0, DenseNet-201, VGG-16, VGG-19, Inception-V3, MobileNet</t>
        </is>
      </c>
      <c r="H31" s="19" t="inlineStr">
        <is>
          <t>Kaggle periodontal dataset + tooth decay dataset</t>
        </is>
      </c>
      <c r="I31" s="19" t="inlineStr">
        <is>
          <t>50 periodontal + 50 non-periodontal + 926 tooth decay images (before SMOTE)</t>
        </is>
      </c>
      <c r="J31" s="19" t="inlineStr">
        <is>
          <t>Accuracy, AUC, Precision, Recall, F1-score</t>
        </is>
      </c>
      <c r="K31" s="19" t="inlineStr">
        <is>
          <t>Best: Accuracy = 98.39%, AUC = 99.79%, F1 = 98.31%</t>
        </is>
      </c>
      <c r="L31" s="19" t="inlineStr">
        <is>
          <t>Train/validation split; internal validation only; SMOTE-Tomek upsampling</t>
        </is>
      </c>
      <c r="M31" s="19" t="inlineStr">
        <is>
          <t>Grad-CAM heatmaps used</t>
        </is>
      </c>
      <c r="N31" s="19" t="inlineStr">
        <is>
          <t>Binary/3-class classification only; no lesion localization; no segmentation; no bone loss quantification; no panoramic focus</t>
        </is>
      </c>
      <c r="O31" s="19" t="inlineStr">
        <is>
          <t>Need lesion-level detection; quantitative bone loss estimation; real clinical datasets; multi-task diagnosis</t>
        </is>
      </c>
      <c r="P31" s="19" t="inlineStr">
        <is>
          <t>Our system performs object detection, segmentation, grading, prognosis, and supports panoramic + bitewing images</t>
        </is>
      </c>
      <c r="Q31" s="19" t="inlineStr">
        <is>
          <t>Our project lacks extremely high classification accuracy and does not yet use data balancing like SMOTE</t>
        </is>
      </c>
      <c r="R31" s="19" t="inlineStr">
        <is>
          <t xml:space="preserve"> C2 – Periodontal Disease &amp; Bone Loss </t>
        </is>
      </c>
      <c r="S31" s="17" t="n">
        <v>1</v>
      </c>
      <c r="T31" s="17" t="n">
        <v>4</v>
      </c>
      <c r="U31" s="17" t="n">
        <v>3</v>
      </c>
      <c r="V31" s="17" t="n">
        <v>4</v>
      </c>
      <c r="W31" s="17" t="n">
        <v>3</v>
      </c>
      <c r="X31" s="17" t="n">
        <v>2.95</v>
      </c>
      <c r="Y31" s="17" t="n">
        <v>3.25</v>
      </c>
    </row>
    <row r="32">
      <c r="A32" s="19" t="inlineStr">
        <is>
          <t>Paper 31</t>
        </is>
      </c>
      <c r="B32" s="19" t="inlineStr">
        <is>
          <t>AI-powered precision in dental radiographic analysis using tailored CNNs for tooth numbering and cavity detection</t>
        </is>
      </c>
      <c r="C32" s="19" t="inlineStr">
        <is>
          <t>PLOS Digital Health</t>
        </is>
      </c>
      <c r="D32" s="19" t="n">
        <v>2025</v>
      </c>
      <c r="E32" s="19" t="inlineStr">
        <is>
          <t>Breno Guerra Zancan, José Andery Carneiro, Caio Uehara Martins, Camila Tirapelli, Camila Porto Capel, Eliana Dantas da Costa, Hugo Gaêta-Araujo, José Augusto Baranauskas, Alessandra Alaniz Macedo</t>
        </is>
      </c>
      <c r="F32" s="18" t="inlineStr">
        <is>
          <t>AI-powered precision in dental radiographic analysis using tailored CNNs for tooth numbering and cavity detection - PMC</t>
        </is>
      </c>
      <c r="G32" s="19" t="inlineStr">
        <is>
          <t>Inception-v3, InceptionResNet-v2 (transfer learning, Keras, ImageNet weights)</t>
        </is>
      </c>
      <c r="H32" s="19" t="inlineStr">
        <is>
          <t>FD dataset (private, Brazil) + PD dataset (DENTEX public)</t>
        </is>
      </c>
      <c r="I32" s="19" t="inlineStr">
        <is>
          <t>FD: 935 PANs → 18,836 teeth; Caries task: 7,304 tooth images (3,652 cavitated + 3,652 non-cavitated)</t>
        </is>
      </c>
      <c r="J32" s="19" t="inlineStr">
        <is>
          <t>Precision, Recall, Accuracy, Specificity, F1-score</t>
        </is>
      </c>
      <c r="K32" s="19" t="inlineStr">
        <is>
          <t>Tooth numbering (InceptionResNet-v2): Accuracy = 0.9988, F1 = 0.9788; Caries detection: Accuracy = 0.94, F1 = 0.94</t>
        </is>
      </c>
      <c r="L32" s="19" t="inlineStr">
        <is>
          <t>Five-fold cross-validation; Wilcoxon signed-rank test; Benjamini–Hochberg FDR correction</t>
        </is>
      </c>
      <c r="M32" s="19" t="inlineStr">
        <is>
          <t>Not reported in paper</t>
        </is>
      </c>
      <c r="N32" s="19" t="inlineStr">
        <is>
          <t>Only classification (no bounding boxes or segmentation masks); no periodontal analysis; no bone loss estimation; no prognosis; panoramic only; no clinical deployment</t>
        </is>
      </c>
      <c r="O32" s="19" t="inlineStr">
        <is>
          <t>Need lesion-level localization, quantitative disease assessment, multi-disease diagnosis, clinical decision support</t>
        </is>
      </c>
      <c r="P32" s="19" t="inlineStr">
        <is>
          <t>Our system performs object detection, severity grading, periodontal segmentation, bone loss estimation, prognosis, and XAI</t>
        </is>
      </c>
      <c r="Q32" s="19" t="inlineStr">
        <is>
          <t>Our project does not yet achieve such high classification accuracy and lacks 5-fold CV statistical testing</t>
        </is>
      </c>
      <c r="R32" s="19" t="inlineStr">
        <is>
          <t>C1 – Caries Detection &amp; Severity</t>
        </is>
      </c>
      <c r="S32" s="17" t="n">
        <v>4</v>
      </c>
      <c r="T32" s="17" t="n">
        <v>5</v>
      </c>
      <c r="U32" s="17" t="n">
        <v>3</v>
      </c>
      <c r="V32" s="17" t="n">
        <v>4</v>
      </c>
      <c r="W32" s="17" t="n">
        <v>5</v>
      </c>
      <c r="X32" s="17" t="n">
        <v>4.15</v>
      </c>
      <c r="Y32" s="17" t="n">
        <v>4.15</v>
      </c>
    </row>
    <row r="33">
      <c r="A33" s="19" t="inlineStr">
        <is>
          <t>Paper 32</t>
        </is>
      </c>
      <c r="B33" s="19" t="inlineStr">
        <is>
          <t>Synthetic Orthopantomography Image Generation Using Generative Adversarial Networks for Data Augmentation</t>
        </is>
      </c>
      <c r="C33" s="19" t="inlineStr">
        <is>
          <t>International Dental Journal (Elsevier)</t>
        </is>
      </c>
      <c r="D33" s="19" t="n">
        <v>2025</v>
      </c>
      <c r="E33" s="19" t="inlineStr">
        <is>
          <t>Maria Waqas, Shehzad Hasan, Ammar Farid Ghori, Amal Alfaraj, Muhammad Faheemuddin, Zohaib Khurshid</t>
        </is>
      </c>
      <c r="F33" s="18" t="inlineStr">
        <is>
          <t>Synthetic Orthopantomography Image Generation Using Generative Adversarial Networks for Data Augmentation - ScienceDirect</t>
        </is>
      </c>
      <c r="G33" s="19" t="inlineStr">
        <is>
          <t>GAN variants: DCGAN, WGAN (4 shortlisted models: M1–M4)</t>
        </is>
      </c>
      <c r="H33" s="19" t="inlineStr">
        <is>
          <t>Private clinical OPGs from Pakistan, Thailand + Tufts Dental Database (USA)</t>
        </is>
      </c>
      <c r="I33" s="19" t="inlineStr">
        <is>
          <t>4,777 real OPG images (Pakistan 3,209; Thailand 568; USA 1,000); 1,000 synthetic images per GAN model</t>
        </is>
      </c>
      <c r="J33" s="19" t="inlineStr">
        <is>
          <t>mAP (YOLO detector), expert dentist realism scores</t>
        </is>
      </c>
      <c r="K33" s="19" t="inlineStr">
        <is>
          <t>YOLO detector achieved strong mAP on synthetic data; Expert realism &gt;50% of real-image scores (M1, M3 best)</t>
        </is>
      </c>
      <c r="L33" s="19" t="inlineStr">
        <is>
          <t>Automated validation using YOLO object detector + manual evaluation by expert dentists</t>
        </is>
      </c>
      <c r="M33" s="19" t="inlineStr">
        <is>
          <t>Not reported in paper</t>
        </is>
      </c>
      <c r="N33" s="19" t="inlineStr">
        <is>
          <t>No disease detection or diagnosis; synthetic data only; no clinical performance metrics; no segmentation or grading</t>
        </is>
      </c>
      <c r="O33" s="19" t="inlineStr">
        <is>
          <t>Need task-specific disease datasets; integrate synthetic data into diagnostic pipelines</t>
        </is>
      </c>
      <c r="P33" s="19" t="inlineStr">
        <is>
          <t>Our system performs real clinical diagnosis tasks (caries + periodontal), not just data generation</t>
        </is>
      </c>
      <c r="Q33" s="19" t="inlineStr">
        <is>
          <t>Our project does not generate synthetic datasets for large-scale augmentation</t>
        </is>
      </c>
      <c r="R33" s="19" t="inlineStr">
        <is>
          <t>C5 – Datasets &amp; Clinical Validation</t>
        </is>
      </c>
      <c r="S33" s="17" t="n">
        <v>3</v>
      </c>
      <c r="T33" s="17" t="n">
        <v>5</v>
      </c>
      <c r="U33" s="17" t="n">
        <v>2</v>
      </c>
      <c r="V33" s="17" t="n">
        <v>3</v>
      </c>
      <c r="W33" s="17" t="n">
        <v>2</v>
      </c>
      <c r="X33" s="17" t="n">
        <v>3.2</v>
      </c>
      <c r="Y33" s="17" t="n">
        <v>3.25</v>
      </c>
    </row>
    <row r="34">
      <c r="A34" s="19" t="inlineStr">
        <is>
          <t>Paper 33</t>
        </is>
      </c>
      <c r="B34" s="19" t="inlineStr">
        <is>
          <t>Dual convolutional neural network framework for segmenting dental caries in panoramic radiographs</t>
        </is>
      </c>
      <c r="C34" s="19" t="inlineStr">
        <is>
          <t>The Journal of Prosthetic Dentistry</t>
        </is>
      </c>
      <c r="D34" s="19" t="inlineStr">
        <is>
          <t>2024 (Article in Press)</t>
        </is>
      </c>
      <c r="E34" s="19" t="inlineStr">
        <is>
          <t>Yeong-Su Lim, Dohyun Chun, Jihun Kim, Jong-yeol Lee, Myeong Jin Ju, Jae Hyung Park, Hee-Jae Jeon</t>
        </is>
      </c>
      <c r="F34" s="14" t="inlineStr">
        <is>
          <t>Dual convolutional neural network framework for segmenting dental caries in panoramic radiographs - ScienceDirect</t>
        </is>
      </c>
      <c r="G34" s="19" t="inlineStr">
        <is>
          <t>Faster R-CNN (MobilenetV2 backbone) for tooth detection + U-Net (EfficientNet-B0 encoder) for caries segmentation</t>
        </is>
      </c>
      <c r="H34" s="19" t="inlineStr">
        <is>
          <t>Open-source dataset from Zhejiang Provincial People’s Hospital (China)</t>
        </is>
      </c>
      <c r="I34" s="19" t="inlineStr">
        <is>
          <t>597 panoramic radiographs (443 train, 50 val, 100 test); U-Net trained on 33,752 cropped tooth images after augmentation</t>
        </is>
      </c>
      <c r="J34" s="19" t="inlineStr">
        <is>
          <t>IoU, Dice, Recall, Precision, AP</t>
        </is>
      </c>
      <c r="K34" s="19" t="inlineStr">
        <is>
          <t>IoU = 0.608; Dice = 0.743; Recall = 0.731; Precision = 0.788</t>
        </is>
      </c>
      <c r="L34" s="19" t="inlineStr">
        <is>
          <t>Train/validation/test split at image level; paired t-test for statistical significance</t>
        </is>
      </c>
      <c r="M34" s="19" t="inlineStr">
        <is>
          <t>Not reported in paper</t>
        </is>
      </c>
      <c r="N34" s="19" t="inlineStr">
        <is>
          <t>Only caries segmentation; no periodontal disease; panoramic only; no severity grading; no prognosis; no explainability</t>
        </is>
      </c>
      <c r="O34" s="19" t="inlineStr">
        <is>
          <t>Need multi-disease diagnosis and clinical decision support beyond caries segmentation</t>
        </is>
      </c>
      <c r="P34" s="19" t="inlineStr">
        <is>
          <t>Our system adds caries detection + severity grading + periodontal segmentation + bone loss estimation + prognosis + XAI</t>
        </is>
      </c>
      <c r="Q34" s="19" t="inlineStr">
        <is>
          <t>Our project lacks such large augmented pixel-level dataset and does not yet report IoU/Dice for segmentation</t>
        </is>
      </c>
      <c r="R34" s="19" t="inlineStr">
        <is>
          <t>C1 – Caries Detection &amp; Severity</t>
        </is>
      </c>
      <c r="S34" s="17" t="n">
        <v>1</v>
      </c>
      <c r="T34" s="17" t="n">
        <v>5</v>
      </c>
      <c r="U34" s="17" t="n">
        <v>4</v>
      </c>
      <c r="V34" s="17" t="n">
        <v>4</v>
      </c>
      <c r="W34" s="17" t="n">
        <v>4</v>
      </c>
      <c r="X34" s="17" t="n">
        <v>3.5</v>
      </c>
      <c r="Y34" s="17" t="n">
        <v>3.85</v>
      </c>
    </row>
    <row r="35">
      <c r="A35" s="19" t="inlineStr">
        <is>
          <t>Paper 34</t>
        </is>
      </c>
      <c r="B35" s="19" t="inlineStr">
        <is>
          <t>A Systematic Review on Caries Detection, Classification, and Segmentation from X-Ray Images</t>
        </is>
      </c>
      <c r="C35" s="19" t="inlineStr">
        <is>
          <t>Journal of Imaging Informatics in Medicine (Springer)</t>
        </is>
      </c>
      <c r="D35" s="19" t="n">
        <v>2024</v>
      </c>
      <c r="E35" s="19" t="inlineStr">
        <is>
          <t>Luiz G. K. Zanini, Izabel R. F. Rubira-Bullen, Fátima L. S. Nunes</t>
        </is>
      </c>
      <c r="F35" s="14" t="inlineStr">
        <is>
          <t>A Systematic Review on Caries Detection, Classification, and Segmentation from X-Ray Images: Methods, Datasets, Evaluation, and Open Opportunities</t>
        </is>
      </c>
      <c r="G35" s="19" t="inlineStr">
        <is>
          <t>Not reported in paper (review article – multiple models surveyed: U-Net, Mask R-CNN, ResNet, nnU-Net, etc.)</t>
        </is>
      </c>
      <c r="H35" s="19" t="inlineStr">
        <is>
          <t>42 studies from ScienceDirect, IEEE, ACM, PubMed</t>
        </is>
      </c>
      <c r="I35" s="19" t="inlineStr">
        <is>
          <t>Dataset sizes vary (from 80 images to 38,000 images across surveyed studies)</t>
        </is>
      </c>
      <c r="J35" s="19" t="inlineStr">
        <is>
          <t>Various (Accuracy, Dice, IoU, F1, Precision, Recall depending on study)</t>
        </is>
      </c>
      <c r="K35" s="19" t="inlineStr">
        <is>
          <t>Not applicable (review paper)</t>
        </is>
      </c>
      <c r="L35" s="19" t="inlineStr">
        <is>
          <t>PRISMA systematic review methodology</t>
        </is>
      </c>
      <c r="M35" s="19" t="inlineStr">
        <is>
          <t>Not reported in paper</t>
        </is>
      </c>
      <c r="N35" s="19" t="inlineStr">
        <is>
          <t>Review paper only; no new model; no experimental system</t>
        </is>
      </c>
      <c r="O35" s="19" t="inlineStr">
        <is>
          <t>Lack of multi-task systems; limited public datasets; most works single-task; lack of caries severity differentiation</t>
        </is>
      </c>
      <c r="P35" s="19" t="inlineStr">
        <is>
          <t>Our project proposes an actual end-to-end multi-task clinical system instead of a survey</t>
        </is>
      </c>
      <c r="Q35" s="19" t="inlineStr">
        <is>
          <t>Our project lacks the breadth of 42-study meta-analysis</t>
        </is>
      </c>
      <c r="R35" s="19" t="inlineStr">
        <is>
          <t>C1 – Caries Detection &amp; Severity</t>
        </is>
      </c>
      <c r="S35" s="17" t="n">
        <v>3</v>
      </c>
      <c r="T35" s="17" t="n">
        <v>5</v>
      </c>
      <c r="U35" s="17" t="n">
        <v>5</v>
      </c>
      <c r="V35" s="17" t="n">
        <v>4</v>
      </c>
      <c r="W35" s="17" t="n">
        <v>2</v>
      </c>
      <c r="X35" s="17" t="n">
        <v>4</v>
      </c>
      <c r="Y35" s="17" t="n">
        <v>4.2</v>
      </c>
    </row>
    <row r="36">
      <c r="A36" s="19" t="inlineStr">
        <is>
          <t>Paper 35</t>
        </is>
      </c>
      <c r="B36" s="19" t="inlineStr">
        <is>
          <t>Advancing Dental Caries Detection in Panoramic X-rays: A Two-Step Deep Learning Approach</t>
        </is>
      </c>
      <c r="C36" s="19" t="inlineStr">
        <is>
          <t>Informatica Medica Slovenica</t>
        </is>
      </c>
      <c r="D36" s="19" t="n">
        <v>2024</v>
      </c>
      <c r="E36" s="19" t="inlineStr">
        <is>
          <t>Žiga Bizjak, Tina Robič</t>
        </is>
      </c>
      <c r="F36" s="14" t="inlineStr">
        <is>
          <t>Advancing Dental Caries Detection in Panoramic X-rays: A Two-Step Deep Learning Approach</t>
        </is>
      </c>
      <c r="G36" s="19" t="inlineStr">
        <is>
          <t>YOLOv8 (two-step: Teeth Enumeration Model + Caries Detection Model)</t>
        </is>
      </c>
      <c r="H36" s="19" t="inlineStr">
        <is>
          <t>DENTEX public dataset + external Slovenian clinical dataset</t>
        </is>
      </c>
      <c r="I36" s="19" t="inlineStr">
        <is>
          <t>DENTEX: 1005 fully labelled X-rays (2681 carious teeth); External: 85 panoramic X-rays (93 carious teeth)</t>
        </is>
      </c>
      <c r="J36" s="19" t="inlineStr">
        <is>
          <t>mAP@0.5, lesion-level sensitivity, patient-level specificity, false positives/image</t>
        </is>
      </c>
      <c r="K36" s="19" t="inlineStr">
        <is>
          <t>TEM: mAP@0.5 = 0.95; CDM lesion sensitivity = 0.70 (internal), 0.67 (external)</t>
        </is>
      </c>
      <c r="L36" s="19" t="inlineStr">
        <is>
          <t>Internal validation on DENTEX + external validation on real clinic data</t>
        </is>
      </c>
      <c r="M36" s="19" t="inlineStr">
        <is>
          <t>Not reported in paper</t>
        </is>
      </c>
      <c r="N36" s="19" t="inlineStr">
        <is>
          <t>Only caries detection; no segmentation; no periodontal disease; no severity grading beyond deep/normal; no prognosis</t>
        </is>
      </c>
      <c r="O36" s="19" t="inlineStr">
        <is>
          <t>Need multi-disease analysis and segmentation-based assessment</t>
        </is>
      </c>
      <c r="P36" s="19" t="inlineStr">
        <is>
          <t>Our system adds periodontal segmentation, bone loss estimation, severity grading, prognosis, XAI</t>
        </is>
      </c>
      <c r="Q36" s="19" t="inlineStr">
        <is>
          <t>Our project does not yet perform external clinical validation</t>
        </is>
      </c>
      <c r="R36" s="19" t="inlineStr">
        <is>
          <t xml:space="preserve">C1 – Caries Detection &amp; Severity </t>
        </is>
      </c>
      <c r="S36" s="17" t="n">
        <v>1</v>
      </c>
      <c r="T36" s="17" t="n">
        <v>5</v>
      </c>
      <c r="U36" s="17" t="n">
        <v>4</v>
      </c>
      <c r="V36" s="17" t="n">
        <v>4</v>
      </c>
      <c r="W36" s="17" t="n">
        <v>5</v>
      </c>
      <c r="X36" s="17" t="n">
        <v>3.6</v>
      </c>
      <c r="Y36" s="17" t="n">
        <v>3.95</v>
      </c>
    </row>
    <row r="37">
      <c r="A37" s="19" t="inlineStr">
        <is>
          <t>Paper 36</t>
        </is>
      </c>
      <c r="B37" s="19" t="inlineStr">
        <is>
          <t>Detection of tooth decay and its severity based on processing of panoramic radiographic images</t>
        </is>
      </c>
      <c r="C37" s="19" t="inlineStr">
        <is>
          <t>ICBIP 2024 – International Conference on Biomedical Signal and Image Processing (ACM)</t>
        </is>
      </c>
      <c r="D37" s="19" t="n">
        <v>2024</v>
      </c>
      <c r="E37" s="19" t="inlineStr">
        <is>
          <t>Parastoo Asadi</t>
        </is>
      </c>
      <c r="F37" s="14" t="inlineStr">
        <is>
          <t>Detection of tooth decay and its severity based on processing of panoramic radiographic images</t>
        </is>
      </c>
      <c r="G37" s="19" t="inlineStr">
        <is>
          <t>Faster R-CNN (Region Proposal Network + CNN classifier)</t>
        </is>
      </c>
      <c r="H37" s="19" t="inlineStr">
        <is>
          <t>UFBA-UESC Dental Images Dataset (Diagnostic Imaging Center of Southwest State University of Bahia)</t>
        </is>
      </c>
      <c r="I37" s="19" t="inlineStr">
        <is>
          <t>1000 panoramic images (750 train, 250 test); originally 4000 available</t>
        </is>
      </c>
      <c r="J37" s="19" t="inlineStr">
        <is>
          <t>Accuracy, Precision, Recall, F0.5-score</t>
        </is>
      </c>
      <c r="K37" s="19" t="inlineStr">
        <is>
          <t>Accuracy = 94%; F0.5 = 0.89 (test set); Recall for mild = 0.64, severe = 0.69</t>
        </is>
      </c>
      <c r="L37" s="19" t="inlineStr">
        <is>
          <t>Hold-out split (75% train / 25% test)</t>
        </is>
      </c>
      <c r="M37" s="19" t="inlineStr">
        <is>
          <t>Not reported in paper</t>
        </is>
      </c>
      <c r="N37" s="19" t="inlineStr">
        <is>
          <t>Uses only single-center dataset; limited dataset size; mild caries detection significantly weaker; panoramic images have low visual quality</t>
        </is>
      </c>
      <c r="O37" s="19" t="inlineStr">
        <is>
          <t>Authors state need for stronger system and improved mild caries detection; need larger dataset and better generalization</t>
        </is>
      </c>
      <c r="P37" s="19" t="inlineStr">
        <is>
          <t>Our system performs multi-task (detection + segmentation + prognosis) vs only detection; uses modern YOLOv8 vs Faster R-CNN; provides periodontal analysis; includes XAI</t>
        </is>
      </c>
      <c r="Q37" s="19" t="inlineStr">
        <is>
          <t>Our project lacks real clinical dataset size (1000+ images) and published benchmark accuracy</t>
        </is>
      </c>
      <c r="R37" s="19" t="inlineStr">
        <is>
          <t>C1 – Caries Detection &amp; Severity</t>
        </is>
      </c>
      <c r="S37" s="17" t="n">
        <v>2</v>
      </c>
      <c r="T37" s="17" t="n">
        <v>5</v>
      </c>
      <c r="U37" s="17" t="n">
        <v>3</v>
      </c>
      <c r="V37" s="17" t="n">
        <v>4</v>
      </c>
      <c r="W37" s="17" t="n">
        <v>4</v>
      </c>
      <c r="X37" s="17" t="n">
        <v>3.55</v>
      </c>
      <c r="Y37" s="17" t="n">
        <v>3.75</v>
      </c>
    </row>
    <row r="38">
      <c r="A38" s="19" t="inlineStr">
        <is>
          <t>Paper 37</t>
        </is>
      </c>
      <c r="B38" s="19" t="inlineStr">
        <is>
          <t>Panoramic Radiograph-Based Deep Learning Models for Diagnosis and Clinical Decision Support of Furcation Lesions in Primary Molars</t>
        </is>
      </c>
      <c r="C38" s="19" t="inlineStr">
        <is>
          <t>Children (MDPI)</t>
        </is>
      </c>
      <c r="D38" s="19" t="n">
        <v>2025</v>
      </c>
      <c r="E38" s="19" t="inlineStr">
        <is>
          <t>Nevra Karamüftüoğlu, Ayşe Bulut, Murat Akın, Şeref Sağiroğlu</t>
        </is>
      </c>
      <c r="F38" s="14" t="inlineStr">
        <is>
          <t>Panoramic Radiograph-Based Deep Learning Models for Diagnosis and Clinical Decision Support of Furcation Lesions in Primary Molars</t>
        </is>
      </c>
      <c r="G38" s="19" t="inlineStr">
        <is>
          <t>YOLOv12x, RT-DETR-L, RT-DETR-X (transformer-based detector)</t>
        </is>
      </c>
      <c r="H38" s="19" t="inlineStr">
        <is>
          <t>Private pediatric OPG dataset (Öveçler Oral and Dental Health Clinic, Ankara)</t>
        </is>
      </c>
      <c r="I38" s="19" t="inlineStr">
        <is>
          <t>387 panoramic radiographs</t>
        </is>
      </c>
      <c r="J38" s="19" t="inlineStr">
        <is>
          <t>Precision, Recall, mAP@0.5, mAP@0.5–0.95</t>
        </is>
      </c>
      <c r="K38" s="19" t="inlineStr">
        <is>
          <t>RT-DETR-X: mAP@0.5 = 0.434; Recall = 0.483; Precision = 0.440</t>
        </is>
      </c>
      <c r="L38" s="19" t="inlineStr">
        <is>
          <t>Stratified split 70/20/10 (train/val/test)</t>
        </is>
      </c>
      <c r="M38" s="19" t="inlineStr">
        <is>
          <t>Not reported in paper</t>
        </is>
      </c>
      <c r="N38" s="19" t="inlineStr">
        <is>
          <t>Small single-center dataset; modest mAP values; no external validation; no cross-validation</t>
        </is>
      </c>
      <c r="O38" s="19" t="inlineStr">
        <is>
          <t>Authors state need for larger multi-center datasets and external validation</t>
        </is>
      </c>
      <c r="P38" s="19" t="inlineStr">
        <is>
          <t>Our system supports caries + periodontal + prognosis vs only furcation lesions; provides segmentation + grading; uses explainability</t>
        </is>
      </c>
      <c r="Q38" s="19" t="inlineStr">
        <is>
          <t>Our project lacks clinical decision mapping to treatment (root canal vs extraction) and pediatric-specific validation</t>
        </is>
      </c>
      <c r="R38" s="19" t="inlineStr">
        <is>
          <t>C2 – Periodontal Disease &amp; Bone Loss</t>
        </is>
      </c>
      <c r="S38" s="17" t="n">
        <v>3</v>
      </c>
      <c r="T38" s="17" t="n">
        <v>4</v>
      </c>
      <c r="U38" s="17" t="n">
        <v>4</v>
      </c>
      <c r="V38" s="17" t="n">
        <v>4</v>
      </c>
      <c r="W38" s="17" t="n">
        <v>5</v>
      </c>
      <c r="X38" s="17" t="n">
        <v>3.85</v>
      </c>
      <c r="Y38" s="17" t="n">
        <v>4.1</v>
      </c>
    </row>
    <row r="39">
      <c r="A39" s="19" t="inlineStr">
        <is>
          <t>Paper 38</t>
        </is>
      </c>
      <c r="B39" s="19" t="inlineStr">
        <is>
          <t>Unsupervised few shot learning architecture for diagnosis of periodontal disease in dental panoramic radiographs</t>
        </is>
      </c>
      <c r="C39" s="19" t="inlineStr">
        <is>
          <t>Scientific Reports (Nature)</t>
        </is>
      </c>
      <c r="D39" s="19" t="n">
        <v>2024</v>
      </c>
      <c r="E39" s="19" t="inlineStr">
        <is>
          <t>Min Joo Kim, Sun Geu Chae, Suk Joo Bae, Kyung-Gyun Hwang</t>
        </is>
      </c>
      <c r="F39" s="14" t="inlineStr">
        <is>
          <t>Unsupervised few shot learning architecture for diagnosis of periodontal disease in dental panoramic radiographs | Scientific Reports</t>
        </is>
      </c>
      <c r="G39" s="19" t="inlineStr">
        <is>
          <t>UNet + CVAE (Convolutional Variational Autoencoder) + k-means / DBSCAN / GMM clustering</t>
        </is>
      </c>
      <c r="H39" s="19" t="inlineStr">
        <is>
          <t>Tufts Dental Database (TDD); HUSHDD; NMICDD</t>
        </is>
      </c>
      <c r="I39" s="19" t="inlineStr">
        <is>
          <t>TDD: 1000 images; HUSHDD: 256 images; NMICDD: 116 images (Total = 1372)</t>
        </is>
      </c>
      <c r="J39" s="19" t="inlineStr">
        <is>
          <t>Accuracy</t>
        </is>
      </c>
      <c r="K39" s="19" t="inlineStr">
        <is>
          <t>Up to 14% higher accuracy than supervised ViT (exact numeric value not explicitly reported)</t>
        </is>
      </c>
      <c r="L39" s="19" t="inlineStr">
        <is>
          <t>Cross-dataset validation across 3 datasets</t>
        </is>
      </c>
      <c r="M39" s="19" t="inlineStr">
        <is>
          <t>Not reported in paper</t>
        </is>
      </c>
      <c r="N39" s="19" t="inlineStr">
        <is>
          <t>Unsupervised clusters still require manual labeling for clinical meaning; no real-time deployment; no bounding box outputs</t>
        </is>
      </c>
      <c r="O39" s="19" t="inlineStr">
        <is>
          <t>Authors state need for improved interpretability and real-world clinical integration</t>
        </is>
      </c>
      <c r="P39" s="19" t="inlineStr">
        <is>
          <t>Our system is supervised and provides explicit bounding boxes + segmentation; supports caries + periodontal; produces structured diagnosis</t>
        </is>
      </c>
      <c r="Q39" s="19" t="inlineStr">
        <is>
          <t>Our project depends on labeled data; lacks unsupervised few-shot capability and multi-dataset validation</t>
        </is>
      </c>
      <c r="R39" s="19" t="inlineStr">
        <is>
          <t>C2 – Periodontal Disease &amp; Bone Loss</t>
        </is>
      </c>
      <c r="S39" s="17" t="n">
        <v>4</v>
      </c>
      <c r="T39" s="17" t="n">
        <v>5</v>
      </c>
      <c r="U39" s="17" t="n">
        <v>4</v>
      </c>
      <c r="V39" s="17" t="n">
        <v>4</v>
      </c>
      <c r="W39" s="17" t="n">
        <v>2</v>
      </c>
      <c r="X39" s="17" t="n">
        <v>4.05</v>
      </c>
      <c r="Y39" s="17" t="n">
        <v>3.9</v>
      </c>
    </row>
    <row r="40">
      <c r="A40" s="19" t="inlineStr">
        <is>
          <t>Paper 39</t>
        </is>
      </c>
      <c r="B40" s="19" t="inlineStr">
        <is>
          <t>Panoramic imaging errors in machine learning model development: a systematic review</t>
        </is>
      </c>
      <c r="C40" s="19" t="inlineStr">
        <is>
          <t>Dentomaxillofacial Radiology (Oxford Univ. Press)</t>
        </is>
      </c>
      <c r="D40" s="19" t="n">
        <v>2024</v>
      </c>
      <c r="E40" s="19" t="inlineStr">
        <is>
          <t>Eduardo Delamare, Xingyue Fu, Zimo Huang, Jinman Kim</t>
        </is>
      </c>
      <c r="F40" s="14" t="inlineStr">
        <is>
          <t>Panoramic imaging errors in machine learning model development: a systematic review | Dentomaxillofacial Radiology | Oxford Academic</t>
        </is>
      </c>
      <c r="G40" s="19" t="inlineStr">
        <is>
          <t>Multiple ML/DL models across reviewed studies: CNNs (VGG-16, VGG-19, GoogLeNet Inception-v3), RCNNs, ANN, MLNN</t>
        </is>
      </c>
      <c r="H40" s="19" t="inlineStr">
        <is>
          <t>41 peer-reviewed PAN-based ML studies (systematic review)</t>
        </is>
      </c>
      <c r="I40" s="19" t="inlineStr">
        <is>
          <t>Per study: varies; review screened 400 papers → 41 included</t>
        </is>
      </c>
      <c r="J40" s="19" t="inlineStr">
        <is>
          <t>Not applicable (review)</t>
        </is>
      </c>
      <c r="K40" s="19" t="inlineStr">
        <is>
          <t>Not applicable (review)</t>
        </is>
      </c>
      <c r="L40" s="19" t="inlineStr">
        <is>
          <t>PRISMA systematic review; qualitative synthesis</t>
        </is>
      </c>
      <c r="M40" s="19" t="inlineStr">
        <is>
          <t>Not reported in paper</t>
        </is>
      </c>
      <c r="N40" s="19" t="inlineStr">
        <is>
          <t>Heterogeneous handling of image quality; inconsistent quality criteria; bias in dataset inclusion/exclusion; lack of standardized PAN quality assessment</t>
        </is>
      </c>
      <c r="O40" s="19" t="inlineStr">
        <is>
          <t>Need standardized PAN image quality protocols; need prospective studies using DL for automated quality assessment; need to study impact of low-quality inputs on model performance</t>
        </is>
      </c>
      <c r="P40" s="19" t="inlineStr">
        <is>
          <t>Our project targets disease diagnosis rather than only data quality management and provides clinical outputs (detection, segmentation, prognosis)</t>
        </is>
      </c>
      <c r="Q40" s="19" t="inlineStr">
        <is>
          <t>Our project does not explicitly implement automated PAN quality assessment module</t>
        </is>
      </c>
      <c r="R40" s="19" t="inlineStr">
        <is>
          <t>C5 – Datasets &amp; Clinical Validation</t>
        </is>
      </c>
      <c r="S40" s="17" t="n">
        <v>1</v>
      </c>
      <c r="T40" s="17" t="n">
        <v>4</v>
      </c>
      <c r="U40" s="17" t="n">
        <v>5</v>
      </c>
      <c r="V40" s="17" t="n">
        <v>3</v>
      </c>
      <c r="W40" s="17" t="n">
        <v>2</v>
      </c>
      <c r="X40" s="17" t="n">
        <v>3.05</v>
      </c>
      <c r="Y40" s="17" t="n">
        <v>2.95</v>
      </c>
    </row>
    <row r="41">
      <c r="A41" s="19" t="inlineStr">
        <is>
          <t>Paper 40</t>
        </is>
      </c>
      <c r="B41" s="19" t="inlineStr">
        <is>
          <t>Automating Dental Condition Detection on Panoramic Radiographs: Challenges, Pitfalls, and Opportunities</t>
        </is>
      </c>
      <c r="C41" s="19" t="inlineStr">
        <is>
          <t>Diagnostics (MDPI)</t>
        </is>
      </c>
      <c r="D41" s="19" t="n">
        <v>2024</v>
      </c>
      <c r="E41" s="19" t="inlineStr">
        <is>
          <t>Sorana Mureșanu, Mihaela Hedeșiu, Liviu Iacob, Radu Eftimie, Eliza Olariu, Cristian Dinu, Reinhilde Jacobs (TEAM Project Group)</t>
        </is>
      </c>
      <c r="F41" s="14" t="inlineStr">
        <is>
          <t>Automating Dental Condition Detection on Panoramic Radiographs: Challenges, Pitfalls, and Opportunities</t>
        </is>
      </c>
      <c r="G41" s="19" t="inlineStr">
        <is>
          <t>YOLOv8</t>
        </is>
      </c>
      <c r="H41" s="19" t="inlineStr">
        <is>
          <t>Private Romanian clinical dataset</t>
        </is>
      </c>
      <c r="I41" s="19" t="inlineStr">
        <is>
          <t>Internal: 1628 PAN (1375 train, 153 val, 100 test); External: 180 PAN from multiple centers</t>
        </is>
      </c>
      <c r="J41" s="19" t="inlineStr">
        <is>
          <t>Precision, Recall, F1-score</t>
        </is>
      </c>
      <c r="K41" s="19" t="inlineStr">
        <is>
          <t>Internal: F1 = 0.60, Recall = 0.657; External: F1 = 0.47, Recall = 0.451</t>
        </is>
      </c>
      <c r="L41" s="19" t="inlineStr">
        <is>
          <t>Internal train/val/test split + external validation</t>
        </is>
      </c>
      <c r="M41" s="19" t="inlineStr">
        <is>
          <t>Not reported in paper</t>
        </is>
      </c>
      <c r="N41" s="19" t="inlineStr">
        <is>
          <t>Performance drops significantly on external data; limited generalizability; modest results for bone loss and caries; single detection task (no segmentation)</t>
        </is>
      </c>
      <c r="O41" s="19" t="inlineStr">
        <is>
          <t>Need larger multi-center datasets; improve generalizability; integrate better clinical decision mapping</t>
        </is>
      </c>
      <c r="P41" s="19" t="inlineStr">
        <is>
          <t>Our system adds segmentation, severity grading, prognosis, explainability and is multi-task (caries + periodontal)</t>
        </is>
      </c>
      <c r="Q41" s="19" t="inlineStr">
        <is>
          <t>Our project does not yet have external multi-center clinical validation</t>
        </is>
      </c>
      <c r="R41" s="19" t="inlineStr">
        <is>
          <t>C3 – Multi-task / End-to-End OPG Diagnosis</t>
        </is>
      </c>
      <c r="S41" s="17" t="n">
        <v>3</v>
      </c>
      <c r="T41" s="17" t="n">
        <v>5</v>
      </c>
      <c r="U41" s="17" t="n">
        <v>4</v>
      </c>
      <c r="V41" s="17" t="n">
        <v>5</v>
      </c>
      <c r="W41" s="17" t="n">
        <v>5</v>
      </c>
      <c r="X41" s="17" t="n">
        <v>4.3</v>
      </c>
      <c r="Y41" s="17" t="n">
        <v>4.55</v>
      </c>
    </row>
    <row r="42">
      <c r="A42" s="19" t="inlineStr">
        <is>
          <t>Paper 41</t>
        </is>
      </c>
      <c r="B42" s="19" t="inlineStr">
        <is>
          <t>Deep Learning in Dental Image Analysis: A Systematic Review of Datasets, Methodologies, and Emerging Challenges</t>
        </is>
      </c>
      <c r="C42" s="19" t="inlineStr">
        <is>
          <t>arXiv / Survey (comprehensive peer-reviewed style review)</t>
        </is>
      </c>
      <c r="D42" s="19" t="n">
        <v>2025</v>
      </c>
      <c r="E42" s="19" t="inlineStr">
        <is>
          <t>Zhenhuan Zhou, Jingbo Zhu, Yuchen Zhang, Xiaohang Guan, Peng Wang, Tao Li</t>
        </is>
      </c>
      <c r="F42" s="14" t="inlineStr">
        <is>
          <t>[2510.20634] Deep Learning in Dental Image Analysis: A Systematic Review of Datasets, Methodologies, and Emerging Challenges</t>
        </is>
      </c>
      <c r="G42" s="19" t="inlineStr">
        <is>
          <t>Not reported in paper (review of 211 DL models: CNNs, U-Net variants, Mask R-CNN, YOLO, ViT, etc.)</t>
        </is>
      </c>
      <c r="H42" s="19" t="inlineStr">
        <is>
          <t>260 studies reviewed; 49 public dental datasets</t>
        </is>
      </c>
      <c r="I42" s="19" t="inlineStr">
        <is>
          <t>Dataset sizes vary widely (most &lt;10,000 images; PAN most common modality)</t>
        </is>
      </c>
      <c r="J42" s="19" t="inlineStr">
        <is>
          <t>Not applicable (review)</t>
        </is>
      </c>
      <c r="K42" s="19" t="inlineStr">
        <is>
          <t>Not applicable (review)</t>
        </is>
      </c>
      <c r="L42" s="19" t="inlineStr">
        <is>
          <t>Systematic multi-database survey (Google Scholar, IEEE, Springer, Elsevier, PubMed)</t>
        </is>
      </c>
      <c r="M42" s="19" t="inlineStr">
        <is>
          <t>Not reported in paper</t>
        </is>
      </c>
      <c r="N42" s="19" t="inlineStr">
        <is>
          <t>Field lacks large-scale public datasets; most works single-task; strong regional bias (Asia-dominant); lack of multi-disease, clinically validated systems</t>
        </is>
      </c>
      <c r="O42" s="19" t="inlineStr">
        <is>
          <t>Need multi-task, multi-modal datasets; standardized benchmarks; integration of lesion + anatomical prediction; clinical-grade CAD systems</t>
        </is>
      </c>
      <c r="P42" s="19" t="inlineStr">
        <is>
          <t>Our system proposes end-to-end multi-disease diagnosis with prognosis and explainability, while most reviewed works are single-task</t>
        </is>
      </c>
      <c r="Q42" s="19" t="inlineStr">
        <is>
          <t>Our project does not yet have large public dataset or benchmark-scale evaluation</t>
        </is>
      </c>
      <c r="R42" s="19" t="inlineStr">
        <is>
          <t>C5 – Datasets &amp; Clinical Validation</t>
        </is>
      </c>
      <c r="S42" s="17" t="n">
        <v>1</v>
      </c>
      <c r="T42" s="17" t="n">
        <v>5</v>
      </c>
      <c r="U42" s="17" t="n">
        <v>4</v>
      </c>
      <c r="V42" s="17" t="n">
        <v>3</v>
      </c>
      <c r="W42" s="17" t="n">
        <v>2</v>
      </c>
      <c r="X42" s="17" t="n">
        <v>3.1</v>
      </c>
      <c r="Y42" s="17" t="n">
        <v>3.15</v>
      </c>
    </row>
    <row r="43">
      <c r="A43" s="19" t="inlineStr">
        <is>
          <t>Paper 42</t>
        </is>
      </c>
      <c r="B43" s="19" t="inlineStr">
        <is>
          <t>A Reliable Multi-Stage System for Tooth Instance Segmentation and Numbering in Panoramic Radiographs</t>
        </is>
      </c>
      <c r="C43" s="19" t="inlineStr">
        <is>
          <t>IEEE Journal of Biomedical and Health Informatics</t>
        </is>
      </c>
      <c r="D43" s="19" t="n">
        <v>2025</v>
      </c>
      <c r="E43" s="19" t="inlineStr">
        <is>
          <t>Yani Zhang, Yuzhou Yu, Qiankun Li, Huabao Chen, Yuci Liang, Junxin Chen, Jiayue Yin</t>
        </is>
      </c>
      <c r="F43" s="14" t="inlineStr">
        <is>
          <t>A Reliable Multi-Stage System for Tooth Instance Segmentation and Numbering in Panoramic Radiographs</t>
        </is>
      </c>
      <c r="G43" s="19" t="inlineStr">
        <is>
          <t>Multi-stage system: MobileNetV3 (supernumerary tooth classifier) + SADP-Net (Mask R-CNN with Swin Transformer backbone, Symmetry-Aware Module, Dual-Branch Pyramid) + YOLOv5 (missing tooth detector)</t>
        </is>
      </c>
      <c r="H43" s="19" t="inlineStr">
        <is>
          <t>Tufts Dental Dataset; O2PR Dataset; Oral Multi-pathology Dataset</t>
        </is>
      </c>
      <c r="I43" s="19" t="inlineStr">
        <is>
          <t>Tufts: 1,000 images; O2PR: 1,996 images; Oral Multi-pathology: 1,000 images</t>
        </is>
      </c>
      <c r="J43" s="19" t="inlineStr">
        <is>
          <t>mAP, AP50, AP75, Accuracy, Recall, F1-score (COCO metrics)</t>
        </is>
      </c>
      <c r="K43" s="19" t="inlineStr">
        <is>
          <t>Tufts: mAP 66.2%, AP50 97.3%, AP75 85.3%; O2PR: mAP 77.4%, AP50 98.1%, AP75 92.0%</t>
        </is>
      </c>
      <c r="L43" s="19" t="inlineStr">
        <is>
          <t>Train/Validation/Test split (Tufts: 70/10/20; O2PR: 85/15; Oral dataset: 70/10/20)</t>
        </is>
      </c>
      <c r="M43" s="19" t="inlineStr">
        <is>
          <t>Nil (no Grad-CAM/attention visualization for interpretability, only architectural symmetry modeling)</t>
        </is>
      </c>
      <c r="N43" s="19" t="inlineStr">
        <is>
          <t>Limited performance of missing tooth detector (YOLOv5 AP50 only 60.4%); system still computationally heavy; focuses only on segmentation &amp; numbering, not disease diagnosis</t>
        </is>
      </c>
      <c r="O43" s="19" t="inlineStr">
        <is>
          <t>Authors state future work: improve missing tooth module integration; extend to pediatric/mixed dentition; integrate multimodal data (e.g., intraoral scans); longitudinal analysis</t>
        </is>
      </c>
      <c r="P43" s="19" t="inlineStr">
        <is>
          <t>Our system performs multi-disease diagnosis (caries + periodontal), not just tooth segmentation/numbering; uses modern YOLOv8 for real-time caries detection; includes severity grading, bone loss estimation, and clinical summary, which this paper does not address</t>
        </is>
      </c>
      <c r="Q43" s="19" t="inlineStr">
        <is>
          <t>This paper has much larger annotated datasets, strong instance segmentation accuracy, and rigorous benchmarking against 11 SOTA models; no clinical disease validation in our project yet</t>
        </is>
      </c>
      <c r="R43" s="19" t="inlineStr">
        <is>
          <t>C6 – Tooth Segmentation &amp; Numbering</t>
        </is>
      </c>
      <c r="S43" s="17" t="n">
        <v>1</v>
      </c>
      <c r="T43" s="17" t="n">
        <v>5</v>
      </c>
      <c r="U43" s="17" t="n">
        <v>5</v>
      </c>
      <c r="V43" s="17" t="n">
        <v>2</v>
      </c>
      <c r="W43" s="17" t="n">
        <v>4</v>
      </c>
      <c r="X43" s="17" t="n">
        <v>3.3</v>
      </c>
      <c r="Y43" s="17" t="n">
        <v>3.6</v>
      </c>
    </row>
    <row r="44">
      <c r="A44" s="19" t="inlineStr">
        <is>
          <t>Paper 43</t>
        </is>
      </c>
      <c r="B44" s="19" t="inlineStr">
        <is>
          <t>Clinical application of deep learning for enhanced multistage caries detection in panoramic radiographs</t>
        </is>
      </c>
      <c r="C44" s="19" t="inlineStr">
        <is>
          <t>Scientific Reports</t>
        </is>
      </c>
      <c r="D44" s="19" t="n">
        <v>2025</v>
      </c>
      <c r="E44" s="19" t="inlineStr">
        <is>
          <t>Pornprasertsuk-Damrongsri et al.</t>
        </is>
      </c>
      <c r="F44" s="18" t="inlineStr">
        <is>
          <t>Clinical application of deep learning for enhanced multistage caries detection in panoramic radiographs</t>
        </is>
      </c>
      <c r="G44" s="19" t="inlineStr">
        <is>
          <t>YOLOv5s (tooth detection) + Attention U-Net (caries segmentation)</t>
        </is>
      </c>
      <c r="H44" s="19" t="inlineStr">
        <is>
          <t>Private clinical panoramic radiographs with bitewing-confirmed ground truth</t>
        </is>
      </c>
      <c r="I44" s="19" t="inlineStr">
        <is>
          <t>500 panoramic radiographs; 14,997 teeth; 1,792 caries</t>
        </is>
      </c>
      <c r="J44" s="19" t="inlineStr">
        <is>
          <t>IoU, Dice, Precision, Recall, F1, Accuracy, Kappa</t>
        </is>
      </c>
      <c r="K44" s="19" t="inlineStr">
        <is>
          <t>Recall = 0.96; F1 = 0.85; Accuracy = 0.93 (posterior teeth)</t>
        </is>
      </c>
      <c r="L44" s="19" t="inlineStr">
        <is>
          <t>Train/Validation/Test split; expert radiologist ground truth; Bland-Altman analysis</t>
        </is>
      </c>
      <c r="M44" s="19" t="inlineStr">
        <is>
          <t>Not reported in paper</t>
        </is>
      </c>
      <c r="N44" s="19" t="inlineStr">
        <is>
          <t>Single-disease focus (caries only); false positives in healthy teeth; no periodontal analysis</t>
        </is>
      </c>
      <c r="O44" s="19" t="inlineStr">
        <is>
          <t>Authors state need for broader diagnostic coverage and improved enamel-stage detection</t>
        </is>
      </c>
      <c r="P44" s="19" t="inlineStr">
        <is>
          <t>Our system covers caries + periodontal disease, adds severity grading, prognosis, YOLOv8 upgrade, and XAI visual explanations</t>
        </is>
      </c>
      <c r="Q44" s="19" t="inlineStr">
        <is>
          <t>Larger dataset size and clinical calibration stronger in this paper</t>
        </is>
      </c>
      <c r="R44" s="19" t="inlineStr">
        <is>
          <t>C1 – Caries Detection &amp; Severity</t>
        </is>
      </c>
      <c r="S44" s="17" t="n">
        <v>4</v>
      </c>
      <c r="T44" s="17" t="n">
        <v>5</v>
      </c>
      <c r="U44" s="17" t="n">
        <v>4</v>
      </c>
      <c r="V44" s="17" t="n">
        <v>4</v>
      </c>
      <c r="W44" s="17" t="n">
        <v>4</v>
      </c>
      <c r="X44" s="17" t="n">
        <v>4.25</v>
      </c>
      <c r="Y44" s="17" t="n">
        <v>4.3</v>
      </c>
    </row>
    <row r="45">
      <c r="A45" s="19" t="inlineStr">
        <is>
          <t>Paper 44</t>
        </is>
      </c>
      <c r="B45" s="19" t="inlineStr">
        <is>
          <t>A self-attention based deep learning framework for accurate and efficient dental disease detection in OPG radiographs</t>
        </is>
      </c>
      <c r="C45" s="19" t="inlineStr">
        <is>
          <t>Scientific Reports</t>
        </is>
      </c>
      <c r="D45" s="19" t="n">
        <v>2026</v>
      </c>
      <c r="E45" s="19" t="inlineStr">
        <is>
          <t>Bhoopalan et al.</t>
        </is>
      </c>
      <c r="F45" s="18" t="inlineStr">
        <is>
          <t>A self attention based deep learning framework for accurate and efficient dental disease detection in OPG radiographs | Scientific Reports</t>
        </is>
      </c>
      <c r="G45" s="19" t="inlineStr">
        <is>
          <t>Vision Transformer (ViT) and Swin Transformer (classification)</t>
        </is>
      </c>
      <c r="H45" s="19" t="inlineStr">
        <is>
          <t>Oral Dataset (Kaggle, Sajid 2024)</t>
        </is>
      </c>
      <c r="I45" s="19" t="inlineStr">
        <is>
          <t>5,098 OPG images (4 disease classes used)</t>
        </is>
      </c>
      <c r="J45" s="19" t="inlineStr">
        <is>
          <t>Accuracy, Precision, Recall, F1, ROC-AUC</t>
        </is>
      </c>
      <c r="K45" s="19" t="inlineStr">
        <is>
          <t>ViT Accuracy = 96%; Precision = 95.8%; Recall = 96.2%</t>
        </is>
      </c>
      <c r="L45" s="19" t="inlineStr">
        <is>
          <t>70/15/15 train-val-test split</t>
        </is>
      </c>
      <c r="M45" s="19" t="inlineStr">
        <is>
          <t>Not reported in paper</t>
        </is>
      </c>
      <c r="N45" s="19" t="inlineStr">
        <is>
          <t>Image-level classification only; no localization or segmentation; no clinical validation</t>
        </is>
      </c>
      <c r="O45" s="19" t="inlineStr">
        <is>
          <t>Authors mention lack of explainability and need for real-world clinical trials</t>
        </is>
      </c>
      <c r="P45" s="19" t="inlineStr">
        <is>
          <t>Our system performs detection + segmentation, supports tooth-level outputs, prognosis, and explainability</t>
        </is>
      </c>
      <c r="Q45" s="19" t="inlineStr">
        <is>
          <t>This paper reports higher image-level accuracy on a larger public dataset</t>
        </is>
      </c>
      <c r="R45" s="19" t="inlineStr">
        <is>
          <t>C3 – Multi-task / End-to-End OPG Diagnosis</t>
        </is>
      </c>
      <c r="S45" s="17" t="n">
        <v>4</v>
      </c>
      <c r="T45" s="17" t="n">
        <v>5</v>
      </c>
      <c r="U45" s="17" t="n">
        <v>2</v>
      </c>
      <c r="V45" s="17" t="n">
        <v>5</v>
      </c>
      <c r="W45" s="17" t="n">
        <v>2</v>
      </c>
      <c r="X45" s="17" t="n">
        <v>3.85</v>
      </c>
      <c r="Y45" s="17" t="n">
        <v>3.7</v>
      </c>
    </row>
    <row r="46">
      <c r="A46" s="19" t="inlineStr">
        <is>
          <t>Paper 45</t>
        </is>
      </c>
      <c r="B46" s="19" t="inlineStr">
        <is>
          <t>Automated Tooth Segmentation in X-ray Images using Attention Integrated U-Net++ Model</t>
        </is>
      </c>
      <c r="C46" s="19" t="inlineStr">
        <is>
          <t>IEEE ISACC</t>
        </is>
      </c>
      <c r="D46" s="19" t="n">
        <v>2025</v>
      </c>
      <c r="E46" s="19" t="inlineStr">
        <is>
          <t>Yaswanth et al.</t>
        </is>
      </c>
      <c r="F46" s="18" t="inlineStr">
        <is>
          <t>Automated Tooth Segmentation in X-ray Images using Attention Integrated U-Net++ Model</t>
        </is>
      </c>
      <c r="G46" s="19" t="inlineStr">
        <is>
          <t>Attention-integrated U-Net++ with Efficient Channel Attention</t>
        </is>
      </c>
      <c r="H46" s="19" t="inlineStr">
        <is>
          <t>Tufts Dental Dataset</t>
        </is>
      </c>
      <c r="I46" s="19" t="inlineStr">
        <is>
          <t>1,000 panoramic radiographs</t>
        </is>
      </c>
      <c r="J46" s="19" t="inlineStr">
        <is>
          <t>mAP, Dice, IoU</t>
        </is>
      </c>
      <c r="K46" s="19" t="inlineStr">
        <is>
          <t>mAP = 96.4%; Dice = 90%</t>
        </is>
      </c>
      <c r="L46" s="19" t="inlineStr">
        <is>
          <t>Standard train-test evaluation on Tufts dataset</t>
        </is>
      </c>
      <c r="M46" s="19" t="inlineStr">
        <is>
          <t>Not reported in paper</t>
        </is>
      </c>
      <c r="N46" s="19" t="inlineStr">
        <is>
          <t>Only tooth segmentation; no disease detection or grading</t>
        </is>
      </c>
      <c r="O46" s="19" t="inlineStr">
        <is>
          <t>Authors suggest extending segmentation to diagnostic and clinical decision tasks</t>
        </is>
      </c>
      <c r="P46" s="19" t="inlineStr">
        <is>
          <t>Our system integrates segmentation + disease detection + prognosis in a single pipeline</t>
        </is>
      </c>
      <c r="Q46" s="19" t="inlineStr">
        <is>
          <t>This paper has stronger tooth mask accuracy</t>
        </is>
      </c>
      <c r="R46" s="19" t="inlineStr">
        <is>
          <t>C6 – Tooth Segmentation &amp; Numbering</t>
        </is>
      </c>
      <c r="S46" s="17" t="n">
        <v>1</v>
      </c>
      <c r="T46" s="17" t="n">
        <v>5</v>
      </c>
      <c r="U46" s="17" t="n">
        <v>4</v>
      </c>
      <c r="V46" s="17" t="n">
        <v>2</v>
      </c>
      <c r="W46" s="17" t="n">
        <v>2</v>
      </c>
      <c r="X46" s="17" t="n">
        <v>2.9</v>
      </c>
      <c r="Y46" s="17" t="n">
        <v>2.95</v>
      </c>
    </row>
    <row r="47">
      <c r="A47" s="19" t="inlineStr">
        <is>
          <t>Paper 46</t>
        </is>
      </c>
      <c r="B47" s="19" t="inlineStr">
        <is>
          <t>Orthopantomogram teeth segmentation and numbering dataset</t>
        </is>
      </c>
      <c r="C47" s="19" t="inlineStr">
        <is>
          <t>Data in Brief (Elsevier)</t>
        </is>
      </c>
      <c r="D47" s="19" t="n">
        <v>2024</v>
      </c>
      <c r="E47" s="19" t="inlineStr">
        <is>
          <t>Niha Adnan, Fahad Umer</t>
        </is>
      </c>
      <c r="F47" s="18" t="inlineStr">
        <is>
          <t>Data Article Orthopantomogram teeth segmentation and numbering dataset</t>
        </is>
      </c>
      <c r="G47" s="19" t="inlineStr">
        <is>
          <t>U-Net (segmentation) + Faster R-CNN (numbering) (used by authors for demonstration, not core contribution)</t>
        </is>
      </c>
      <c r="H47" s="19" t="inlineStr">
        <is>
          <t>Orthopantomogram Teeth Segmentation and Numbering Dataset (Zenodo)</t>
        </is>
      </c>
      <c r="I47" s="19" t="inlineStr">
        <is>
          <t>250 OPG images (permanent dentition only)</t>
        </is>
      </c>
      <c r="J47" s="19" t="inlineStr">
        <is>
          <t>Not reported in paper</t>
        </is>
      </c>
      <c r="K47" s="19" t="inlineStr">
        <is>
          <t>Not reported in paper</t>
        </is>
      </c>
      <c r="L47" s="19" t="inlineStr">
        <is>
          <t>Expert dentist annotation + second expert verification</t>
        </is>
      </c>
      <c r="M47" s="19" t="inlineStr">
        <is>
          <t>Not reported in paper</t>
        </is>
      </c>
      <c r="N47" s="19" t="inlineStr">
        <is>
          <t>Small dataset size; no disease annotations (caries, periodontal); resized to 512×512</t>
        </is>
      </c>
      <c r="O47" s="19" t="inlineStr">
        <is>
          <t>Authors explicitly state need for expansion and annotation of diseases such as decay, fillings, crowns</t>
        </is>
      </c>
      <c r="P47" s="19" t="inlineStr">
        <is>
          <t>Our system performs disease detection, severity grading, segmentation, prognosis, not just tooth structure</t>
        </is>
      </c>
      <c r="Q47" s="19" t="inlineStr">
        <is>
          <t>This paper provides high-quality expert annotations and numbering, which our project does not contribute as a dataset</t>
        </is>
      </c>
      <c r="R47" s="19" t="inlineStr">
        <is>
          <t xml:space="preserve"> C6 – Tooth Segmentation &amp; Numbering</t>
        </is>
      </c>
      <c r="S47" s="17" t="n">
        <v>3</v>
      </c>
      <c r="T47" s="17" t="n">
        <v>3</v>
      </c>
      <c r="U47" s="17" t="n">
        <v>4</v>
      </c>
      <c r="V47" s="17" t="n">
        <v>2</v>
      </c>
      <c r="W47" s="17" t="n">
        <v>1</v>
      </c>
      <c r="X47" s="17" t="n">
        <v>2.8</v>
      </c>
      <c r="Y47" s="17" t="n">
        <v>2.35</v>
      </c>
    </row>
    <row r="48">
      <c r="A48" s="19" t="inlineStr">
        <is>
          <t>Paper 47</t>
        </is>
      </c>
      <c r="B48" s="19" t="inlineStr">
        <is>
          <t>An enhanced deep learning model for detection and classification of dental caries in panoramic radiographs</t>
        </is>
      </c>
      <c r="C48" s="19" t="inlineStr">
        <is>
          <t>Neural Computing and Applications (Springer)</t>
        </is>
      </c>
      <c r="D48" s="19" t="n">
        <v>2026</v>
      </c>
      <c r="E48" s="19" t="inlineStr">
        <is>
          <t>Ozdemir et al.</t>
        </is>
      </c>
      <c r="F48" s="18" t="inlineStr">
        <is>
          <t>An enhanced deep learning model for detection and classification of dental caries in panoramic radiographs | Neural Computing and Applications</t>
        </is>
      </c>
      <c r="G48" s="19" t="inlineStr">
        <is>
          <t>DenseNet-121-C (custom classifier head)</t>
        </is>
      </c>
      <c r="H48" s="19" t="inlineStr">
        <is>
          <t>Private clinical panoramic radiographs</t>
        </is>
      </c>
      <c r="I48" s="19" t="inlineStr">
        <is>
          <t>14,498 cropped tooth images (2,303 caries / 12,195 non-caries)</t>
        </is>
      </c>
      <c r="J48" s="19" t="inlineStr">
        <is>
          <t>Accuracy, Precision, Recall, F1-score</t>
        </is>
      </c>
      <c r="K48" s="19" t="inlineStr">
        <is>
          <t>Accuracy = 93.17%, F1 = 87.49%</t>
        </is>
      </c>
      <c r="L48" s="19" t="inlineStr">
        <is>
          <t>Train–test evaluation; expert annotations; comparison with Mask R-CNN</t>
        </is>
      </c>
      <c r="M48" s="19" t="inlineStr">
        <is>
          <t>Not reported in paper</t>
        </is>
      </c>
      <c r="N48" s="19" t="inlineStr">
        <is>
          <t>Binary classification only; no localization on full image; no severity grading; no periodontal analysis</t>
        </is>
      </c>
      <c r="O48" s="19" t="inlineStr">
        <is>
          <t>Authors explicitly state need for external validation and clinical deployment studies</t>
        </is>
      </c>
      <c r="P48" s="19" t="inlineStr">
        <is>
          <t>Our system provides localization (YOLOv8), segmentation, severity grading, periodontal bone loss analysis, prognosis, explainability</t>
        </is>
      </c>
      <c r="Q48" s="19" t="inlineStr">
        <is>
          <t>This paper reports high accuracy on a larger cropped dataset</t>
        </is>
      </c>
      <c r="R48" s="19" t="inlineStr">
        <is>
          <t>C1 – Caries Detection &amp; Severity</t>
        </is>
      </c>
      <c r="S48" s="17" t="n">
        <v>3</v>
      </c>
      <c r="T48" s="17" t="n">
        <v>5</v>
      </c>
      <c r="U48" s="17" t="n">
        <v>2</v>
      </c>
      <c r="V48" s="17" t="n">
        <v>4</v>
      </c>
      <c r="W48" s="17" t="n">
        <v>2</v>
      </c>
      <c r="X48" s="17" t="n">
        <v>3.4</v>
      </c>
      <c r="Y48" s="17" t="n">
        <v>3.45</v>
      </c>
    </row>
    <row r="49">
      <c r="S49" s="55" t="n"/>
      <c r="T49" s="55" t="n"/>
      <c r="U49" s="55" t="n"/>
      <c r="V49" s="55" t="n"/>
      <c r="W49" s="55" t="n"/>
      <c r="X49" s="55" t="n"/>
      <c r="Y49" s="55" t="n"/>
    </row>
    <row r="50">
      <c r="S50" s="55" t="n"/>
      <c r="T50" s="55" t="n"/>
      <c r="U50" s="55" t="n"/>
      <c r="V50" s="55" t="n"/>
      <c r="W50" s="55" t="n"/>
      <c r="X50" s="55" t="n"/>
      <c r="Y50" s="55" t="n"/>
    </row>
    <row r="51">
      <c r="S51" s="55" t="n"/>
      <c r="T51" s="55" t="n"/>
      <c r="U51" s="55" t="n"/>
      <c r="V51" s="55" t="n"/>
      <c r="W51" s="55" t="n"/>
      <c r="X51" s="55" t="n"/>
      <c r="Y51" s="55" t="n"/>
    </row>
    <row r="52">
      <c r="S52" s="55" t="n"/>
      <c r="T52" s="55" t="n"/>
      <c r="U52" s="55" t="n"/>
      <c r="V52" s="55" t="n"/>
      <c r="W52" s="55" t="n"/>
      <c r="X52" s="55" t="n"/>
      <c r="Y52" s="55" t="n"/>
    </row>
    <row r="53">
      <c r="S53" s="55" t="n"/>
      <c r="T53" s="55" t="n"/>
      <c r="U53" s="55" t="n"/>
      <c r="V53" s="55" t="n"/>
      <c r="W53" s="55" t="n"/>
      <c r="X53" s="55" t="n"/>
      <c r="Y53" s="55" t="n"/>
    </row>
    <row r="54">
      <c r="S54" s="55" t="n"/>
      <c r="T54" s="55" t="n"/>
      <c r="U54" s="55" t="n"/>
      <c r="V54" s="55" t="n"/>
      <c r="W54" s="55" t="n"/>
      <c r="X54" s="55" t="n"/>
      <c r="Y54" s="55" t="n"/>
    </row>
    <row r="55">
      <c r="S55" s="55" t="n"/>
      <c r="T55" s="55" t="n"/>
      <c r="U55" s="55" t="n"/>
      <c r="V55" s="55" t="n"/>
      <c r="W55" s="55" t="n"/>
      <c r="X55" s="55" t="n"/>
      <c r="Y55" s="55" t="n"/>
    </row>
    <row r="56">
      <c r="S56" s="55" t="n"/>
      <c r="T56" s="55" t="n"/>
      <c r="U56" s="55" t="n"/>
      <c r="V56" s="55" t="n"/>
      <c r="W56" s="55" t="n"/>
      <c r="X56" s="55" t="n"/>
      <c r="Y56" s="55" t="n"/>
    </row>
    <row r="57">
      <c r="S57" s="55" t="n"/>
      <c r="T57" s="55" t="n"/>
      <c r="U57" s="55" t="n"/>
      <c r="V57" s="55" t="n"/>
      <c r="W57" s="55" t="n"/>
      <c r="X57" s="55" t="n"/>
      <c r="Y57" s="55" t="n"/>
    </row>
    <row r="58">
      <c r="S58" s="55" t="n"/>
      <c r="T58" s="55" t="n"/>
      <c r="U58" s="55" t="n"/>
      <c r="V58" s="55" t="n"/>
      <c r="W58" s="55" t="n"/>
      <c r="X58" s="55" t="n"/>
      <c r="Y58" s="55" t="n"/>
    </row>
    <row r="59">
      <c r="S59" s="55" t="n"/>
      <c r="T59" s="55" t="n"/>
      <c r="U59" s="55" t="n"/>
      <c r="V59" s="55" t="n"/>
      <c r="W59" s="55" t="n"/>
      <c r="X59" s="55" t="n"/>
      <c r="Y59" s="55" t="n"/>
    </row>
    <row r="60">
      <c r="S60" s="55" t="n"/>
      <c r="T60" s="55" t="n"/>
      <c r="U60" s="55" t="n"/>
      <c r="V60" s="55" t="n"/>
      <c r="W60" s="55" t="n"/>
      <c r="X60" s="55" t="n"/>
      <c r="Y60" s="55" t="n"/>
    </row>
    <row r="61">
      <c r="S61" s="55" t="n"/>
      <c r="T61" s="55" t="n"/>
      <c r="U61" s="55" t="n"/>
      <c r="V61" s="55" t="n"/>
      <c r="W61" s="55" t="n"/>
      <c r="X61" s="55" t="n"/>
      <c r="Y61" s="55" t="n"/>
    </row>
    <row r="62">
      <c r="S62" s="55" t="n"/>
      <c r="T62" s="55" t="n"/>
      <c r="U62" s="55" t="n"/>
      <c r="V62" s="55" t="n"/>
      <c r="W62" s="55" t="n"/>
      <c r="X62" s="55" t="n"/>
      <c r="Y62" s="55" t="n"/>
    </row>
    <row r="63">
      <c r="S63" s="55" t="n"/>
      <c r="T63" s="55" t="n"/>
      <c r="U63" s="55" t="n"/>
      <c r="V63" s="55" t="n"/>
      <c r="W63" s="55" t="n"/>
      <c r="X63" s="55" t="n"/>
      <c r="Y63" s="55" t="n"/>
    </row>
    <row r="64">
      <c r="S64" s="55" t="n"/>
      <c r="T64" s="55" t="n"/>
      <c r="U64" s="55" t="n"/>
      <c r="V64" s="55" t="n"/>
      <c r="W64" s="55" t="n"/>
      <c r="X64" s="55" t="n"/>
      <c r="Y64" s="55" t="n"/>
    </row>
    <row r="65">
      <c r="S65" s="55" t="n"/>
      <c r="T65" s="55" t="n"/>
      <c r="U65" s="55" t="n"/>
      <c r="V65" s="55" t="n"/>
      <c r="W65" s="55" t="n"/>
      <c r="X65" s="55" t="n"/>
      <c r="Y65" s="55" t="n"/>
    </row>
    <row r="66">
      <c r="S66" s="55" t="n"/>
      <c r="T66" s="55" t="n"/>
      <c r="U66" s="55" t="n"/>
      <c r="V66" s="55" t="n"/>
      <c r="W66" s="55" t="n"/>
      <c r="X66" s="55" t="n"/>
      <c r="Y66" s="55" t="n"/>
    </row>
    <row r="67">
      <c r="S67" s="55" t="n"/>
      <c r="T67" s="55" t="n"/>
      <c r="U67" s="55" t="n"/>
      <c r="V67" s="55" t="n"/>
      <c r="W67" s="55" t="n"/>
      <c r="X67" s="55" t="n"/>
      <c r="Y67" s="55" t="n"/>
    </row>
    <row r="68">
      <c r="S68" s="55" t="n"/>
      <c r="T68" s="55" t="n"/>
      <c r="U68" s="55" t="n"/>
      <c r="V68" s="55" t="n"/>
      <c r="W68" s="55" t="n"/>
      <c r="X68" s="55" t="n"/>
      <c r="Y68" s="55" t="n"/>
    </row>
    <row r="69">
      <c r="S69" s="55" t="n"/>
      <c r="T69" s="55" t="n"/>
      <c r="U69" s="55" t="n"/>
      <c r="V69" s="55" t="n"/>
      <c r="W69" s="55" t="n"/>
      <c r="X69" s="55" t="n"/>
      <c r="Y69" s="55" t="n"/>
    </row>
    <row r="70">
      <c r="S70" s="55" t="n"/>
      <c r="T70" s="55" t="n"/>
      <c r="U70" s="55" t="n"/>
      <c r="V70" s="55" t="n"/>
      <c r="W70" s="55" t="n"/>
      <c r="X70" s="55" t="n"/>
      <c r="Y70" s="55" t="n"/>
    </row>
    <row r="71">
      <c r="S71" s="55" t="n"/>
      <c r="T71" s="55" t="n"/>
      <c r="U71" s="55" t="n"/>
      <c r="V71" s="55" t="n"/>
      <c r="W71" s="55" t="n"/>
      <c r="X71" s="55" t="n"/>
      <c r="Y71" s="55" t="n"/>
    </row>
    <row r="72">
      <c r="S72" s="55" t="n"/>
      <c r="T72" s="55" t="n"/>
      <c r="U72" s="55" t="n"/>
      <c r="V72" s="55" t="n"/>
      <c r="W72" s="55" t="n"/>
      <c r="X72" s="55" t="n"/>
      <c r="Y72" s="55" t="n"/>
    </row>
    <row r="73">
      <c r="S73" s="55" t="n"/>
      <c r="T73" s="55" t="n"/>
      <c r="U73" s="55" t="n"/>
      <c r="V73" s="55" t="n"/>
      <c r="W73" s="55" t="n"/>
      <c r="X73" s="55" t="n"/>
      <c r="Y73" s="55" t="n"/>
    </row>
    <row r="74">
      <c r="S74" s="55" t="n"/>
      <c r="T74" s="55" t="n"/>
      <c r="U74" s="55" t="n"/>
      <c r="V74" s="55" t="n"/>
      <c r="W74" s="55" t="n"/>
      <c r="X74" s="55" t="n"/>
      <c r="Y74" s="55" t="n"/>
    </row>
    <row r="75">
      <c r="S75" s="55" t="n"/>
      <c r="T75" s="55" t="n"/>
      <c r="U75" s="55" t="n"/>
      <c r="V75" s="55" t="n"/>
      <c r="W75" s="55" t="n"/>
      <c r="X75" s="55" t="n"/>
      <c r="Y75" s="55" t="n"/>
    </row>
    <row r="76">
      <c r="S76" s="55" t="n"/>
      <c r="T76" s="55" t="n"/>
      <c r="U76" s="55" t="n"/>
      <c r="V76" s="55" t="n"/>
      <c r="W76" s="55" t="n"/>
      <c r="X76" s="55" t="n"/>
      <c r="Y76" s="55" t="n"/>
    </row>
    <row r="77">
      <c r="S77" s="55" t="n"/>
      <c r="T77" s="55" t="n"/>
      <c r="U77" s="55" t="n"/>
      <c r="V77" s="55" t="n"/>
      <c r="W77" s="55" t="n"/>
      <c r="X77" s="55" t="n"/>
      <c r="Y77" s="55" t="n"/>
    </row>
    <row r="78">
      <c r="S78" s="55" t="n"/>
      <c r="T78" s="55" t="n"/>
      <c r="U78" s="55" t="n"/>
      <c r="V78" s="55" t="n"/>
      <c r="W78" s="55" t="n"/>
      <c r="X78" s="55" t="n"/>
      <c r="Y78" s="55" t="n"/>
    </row>
    <row r="79">
      <c r="S79" s="55" t="n"/>
      <c r="T79" s="55" t="n"/>
      <c r="U79" s="55" t="n"/>
      <c r="V79" s="55" t="n"/>
      <c r="W79" s="55" t="n"/>
      <c r="X79" s="55" t="n"/>
      <c r="Y79" s="55" t="n"/>
    </row>
    <row r="80">
      <c r="S80" s="55" t="n"/>
      <c r="T80" s="55" t="n"/>
      <c r="U80" s="55" t="n"/>
      <c r="V80" s="55" t="n"/>
      <c r="W80" s="55" t="n"/>
      <c r="X80" s="55" t="n"/>
      <c r="Y80" s="55" t="n"/>
    </row>
    <row r="81">
      <c r="S81" s="55" t="n"/>
      <c r="T81" s="55" t="n"/>
      <c r="U81" s="55" t="n"/>
      <c r="V81" s="55" t="n"/>
      <c r="W81" s="55" t="n"/>
      <c r="X81" s="55" t="n"/>
      <c r="Y81" s="55" t="n"/>
    </row>
    <row r="82">
      <c r="S82" s="55" t="n"/>
      <c r="T82" s="55" t="n"/>
      <c r="U82" s="55" t="n"/>
      <c r="V82" s="55" t="n"/>
      <c r="W82" s="55" t="n"/>
      <c r="X82" s="55" t="n"/>
      <c r="Y82" s="55" t="n"/>
    </row>
    <row r="83">
      <c r="S83" s="55" t="n"/>
      <c r="T83" s="55" t="n"/>
      <c r="U83" s="55" t="n"/>
      <c r="V83" s="55" t="n"/>
      <c r="W83" s="55" t="n"/>
      <c r="X83" s="55" t="n"/>
      <c r="Y83" s="55" t="n"/>
    </row>
    <row r="84">
      <c r="S84" s="55" t="n"/>
      <c r="T84" s="55" t="n"/>
      <c r="U84" s="55" t="n"/>
      <c r="V84" s="55" t="n"/>
      <c r="W84" s="55" t="n"/>
      <c r="X84" s="55" t="n"/>
      <c r="Y84" s="55" t="n"/>
    </row>
    <row r="85">
      <c r="S85" s="55" t="n"/>
      <c r="T85" s="55" t="n"/>
      <c r="U85" s="55" t="n"/>
      <c r="V85" s="55" t="n"/>
      <c r="W85" s="55" t="n"/>
      <c r="X85" s="55" t="n"/>
      <c r="Y85" s="55" t="n"/>
    </row>
    <row r="86">
      <c r="S86" s="55" t="n"/>
      <c r="T86" s="55" t="n"/>
      <c r="U86" s="55" t="n"/>
      <c r="V86" s="55" t="n"/>
      <c r="W86" s="55" t="n"/>
      <c r="X86" s="55" t="n"/>
      <c r="Y86" s="55" t="n"/>
    </row>
    <row r="87">
      <c r="S87" s="55" t="n"/>
      <c r="T87" s="55" t="n"/>
      <c r="U87" s="55" t="n"/>
      <c r="V87" s="55" t="n"/>
      <c r="W87" s="55" t="n"/>
      <c r="X87" s="55" t="n"/>
      <c r="Y87" s="55" t="n"/>
    </row>
    <row r="88">
      <c r="S88" s="55" t="n"/>
      <c r="T88" s="55" t="n"/>
      <c r="U88" s="55" t="n"/>
      <c r="V88" s="55" t="n"/>
      <c r="W88" s="55" t="n"/>
      <c r="X88" s="55" t="n"/>
      <c r="Y88" s="55" t="n"/>
    </row>
    <row r="89">
      <c r="S89" s="55" t="n"/>
      <c r="T89" s="55" t="n"/>
      <c r="U89" s="55" t="n"/>
      <c r="V89" s="55" t="n"/>
      <c r="W89" s="55" t="n"/>
      <c r="X89" s="55" t="n"/>
      <c r="Y89" s="55" t="n"/>
    </row>
    <row r="90">
      <c r="S90" s="55" t="n"/>
      <c r="T90" s="55" t="n"/>
      <c r="U90" s="55" t="n"/>
      <c r="V90" s="55" t="n"/>
      <c r="W90" s="55" t="n"/>
      <c r="X90" s="55" t="n"/>
      <c r="Y90" s="55" t="n"/>
    </row>
    <row r="91">
      <c r="S91" s="55" t="n"/>
      <c r="T91" s="55" t="n"/>
      <c r="U91" s="55" t="n"/>
      <c r="V91" s="55" t="n"/>
      <c r="W91" s="55" t="n"/>
      <c r="X91" s="55" t="n"/>
      <c r="Y91" s="55" t="n"/>
    </row>
    <row r="92">
      <c r="S92" s="55" t="n"/>
      <c r="T92" s="55" t="n"/>
      <c r="U92" s="55" t="n"/>
      <c r="V92" s="55" t="n"/>
      <c r="W92" s="55" t="n"/>
      <c r="X92" s="55" t="n"/>
      <c r="Y92" s="55" t="n"/>
    </row>
    <row r="93">
      <c r="S93" s="55" t="n"/>
      <c r="T93" s="55" t="n"/>
      <c r="U93" s="55" t="n"/>
      <c r="V93" s="55" t="n"/>
      <c r="W93" s="55" t="n"/>
      <c r="X93" s="55" t="n"/>
      <c r="Y93" s="55" t="n"/>
    </row>
    <row r="94">
      <c r="S94" s="55" t="n"/>
      <c r="T94" s="55" t="n"/>
      <c r="U94" s="55" t="n"/>
      <c r="V94" s="55" t="n"/>
      <c r="W94" s="55" t="n"/>
      <c r="X94" s="55" t="n"/>
      <c r="Y94" s="55" t="n"/>
    </row>
    <row r="95">
      <c r="S95" s="55" t="n"/>
      <c r="T95" s="55" t="n"/>
      <c r="U95" s="55" t="n"/>
      <c r="V95" s="55" t="n"/>
      <c r="W95" s="55" t="n"/>
      <c r="X95" s="55" t="n"/>
      <c r="Y95" s="55" t="n"/>
    </row>
    <row r="96">
      <c r="S96" s="55" t="n"/>
      <c r="T96" s="55" t="n"/>
      <c r="U96" s="55" t="n"/>
      <c r="V96" s="55" t="n"/>
      <c r="W96" s="55" t="n"/>
      <c r="X96" s="55" t="n"/>
      <c r="Y96" s="55" t="n"/>
    </row>
    <row r="97">
      <c r="S97" s="55" t="n"/>
      <c r="T97" s="55" t="n"/>
      <c r="U97" s="55" t="n"/>
      <c r="V97" s="55" t="n"/>
      <c r="W97" s="55" t="n"/>
      <c r="X97" s="55" t="n"/>
      <c r="Y97" s="55" t="n"/>
    </row>
    <row r="98">
      <c r="S98" s="55" t="n"/>
      <c r="T98" s="55" t="n"/>
      <c r="U98" s="55" t="n"/>
      <c r="V98" s="55" t="n"/>
      <c r="W98" s="55" t="n"/>
      <c r="X98" s="55" t="n"/>
      <c r="Y98" s="55" t="n"/>
    </row>
    <row r="99">
      <c r="S99" s="55" t="n"/>
      <c r="T99" s="55" t="n"/>
      <c r="U99" s="55" t="n"/>
      <c r="V99" s="55" t="n"/>
      <c r="W99" s="55" t="n"/>
      <c r="X99" s="55" t="n"/>
      <c r="Y99" s="55" t="n"/>
    </row>
    <row r="100">
      <c r="S100" s="55" t="n"/>
      <c r="T100" s="55" t="n"/>
      <c r="U100" s="55" t="n"/>
      <c r="V100" s="55" t="n"/>
      <c r="W100" s="55" t="n"/>
      <c r="X100" s="55" t="n"/>
      <c r="Y100" s="55" t="n"/>
    </row>
    <row r="101">
      <c r="S101" s="55" t="n"/>
      <c r="T101" s="55" t="n"/>
      <c r="U101" s="55" t="n"/>
      <c r="V101" s="55" t="n"/>
      <c r="W101" s="55" t="n"/>
      <c r="X101" s="55" t="n"/>
      <c r="Y101" s="55" t="n"/>
    </row>
    <row r="102">
      <c r="S102" s="55" t="n"/>
      <c r="T102" s="55" t="n"/>
      <c r="U102" s="55" t="n"/>
      <c r="V102" s="55" t="n"/>
      <c r="W102" s="55" t="n"/>
      <c r="X102" s="55" t="n"/>
      <c r="Y102" s="55" t="n"/>
    </row>
    <row r="103">
      <c r="S103" s="55" t="n"/>
      <c r="T103" s="55" t="n"/>
      <c r="U103" s="55" t="n"/>
      <c r="V103" s="55" t="n"/>
      <c r="W103" s="55" t="n"/>
      <c r="X103" s="55" t="n"/>
      <c r="Y103" s="55" t="n"/>
    </row>
    <row r="104">
      <c r="S104" s="55" t="n"/>
      <c r="T104" s="55" t="n"/>
      <c r="U104" s="55" t="n"/>
      <c r="V104" s="55" t="n"/>
      <c r="W104" s="55" t="n"/>
      <c r="X104" s="55" t="n"/>
      <c r="Y104" s="55" t="n"/>
    </row>
    <row r="105">
      <c r="S105" s="55" t="n"/>
      <c r="T105" s="55" t="n"/>
      <c r="U105" s="55" t="n"/>
      <c r="V105" s="55" t="n"/>
      <c r="W105" s="55" t="n"/>
      <c r="X105" s="55" t="n"/>
      <c r="Y105" s="55" t="n"/>
    </row>
    <row r="106">
      <c r="S106" s="55" t="n"/>
      <c r="T106" s="55" t="n"/>
      <c r="U106" s="55" t="n"/>
      <c r="V106" s="55" t="n"/>
      <c r="W106" s="55" t="n"/>
      <c r="X106" s="55" t="n"/>
      <c r="Y106" s="55" t="n"/>
    </row>
    <row r="107">
      <c r="S107" s="55" t="n"/>
      <c r="T107" s="55" t="n"/>
      <c r="U107" s="55" t="n"/>
      <c r="V107" s="55" t="n"/>
      <c r="W107" s="55" t="n"/>
      <c r="X107" s="55" t="n"/>
      <c r="Y107" s="55" t="n"/>
    </row>
    <row r="108">
      <c r="S108" s="55" t="n"/>
      <c r="T108" s="55" t="n"/>
      <c r="U108" s="55" t="n"/>
      <c r="V108" s="55" t="n"/>
      <c r="W108" s="55" t="n"/>
      <c r="X108" s="55" t="n"/>
      <c r="Y108" s="55" t="n"/>
    </row>
    <row r="109">
      <c r="S109" s="55" t="n"/>
      <c r="T109" s="55" t="n"/>
      <c r="U109" s="55" t="n"/>
      <c r="V109" s="55" t="n"/>
      <c r="W109" s="55" t="n"/>
      <c r="X109" s="55" t="n"/>
      <c r="Y109" s="55" t="n"/>
    </row>
    <row r="110">
      <c r="S110" s="55" t="n"/>
      <c r="T110" s="55" t="n"/>
      <c r="U110" s="55" t="n"/>
      <c r="V110" s="55" t="n"/>
      <c r="W110" s="55" t="n"/>
      <c r="X110" s="55" t="n"/>
      <c r="Y110" s="55" t="n"/>
    </row>
    <row r="111">
      <c r="S111" s="55" t="n"/>
      <c r="T111" s="55" t="n"/>
      <c r="U111" s="55" t="n"/>
      <c r="V111" s="55" t="n"/>
      <c r="W111" s="55" t="n"/>
      <c r="X111" s="55" t="n"/>
      <c r="Y111" s="55" t="n"/>
    </row>
    <row r="112">
      <c r="S112" s="55" t="n"/>
      <c r="T112" s="55" t="n"/>
      <c r="U112" s="55" t="n"/>
      <c r="V112" s="55" t="n"/>
      <c r="W112" s="55" t="n"/>
      <c r="X112" s="55" t="n"/>
      <c r="Y112" s="55" t="n"/>
    </row>
    <row r="113">
      <c r="S113" s="55" t="n"/>
      <c r="T113" s="55" t="n"/>
      <c r="U113" s="55" t="n"/>
      <c r="V113" s="55" t="n"/>
      <c r="W113" s="55" t="n"/>
      <c r="X113" s="55" t="n"/>
      <c r="Y113" s="55" t="n"/>
    </row>
    <row r="114">
      <c r="S114" s="55" t="n"/>
      <c r="T114" s="55" t="n"/>
      <c r="U114" s="55" t="n"/>
      <c r="V114" s="55" t="n"/>
      <c r="W114" s="55" t="n"/>
      <c r="X114" s="55" t="n"/>
      <c r="Y114" s="55" t="n"/>
    </row>
    <row r="115">
      <c r="S115" s="55" t="n"/>
      <c r="T115" s="55" t="n"/>
      <c r="U115" s="55" t="n"/>
      <c r="V115" s="55" t="n"/>
      <c r="W115" s="55" t="n"/>
      <c r="X115" s="55" t="n"/>
      <c r="Y115" s="55" t="n"/>
    </row>
    <row r="116">
      <c r="S116" s="55" t="n"/>
      <c r="T116" s="55" t="n"/>
      <c r="U116" s="55" t="n"/>
      <c r="V116" s="55" t="n"/>
      <c r="W116" s="55" t="n"/>
      <c r="X116" s="55" t="n"/>
      <c r="Y116" s="55" t="n"/>
    </row>
    <row r="117">
      <c r="S117" s="55" t="n"/>
      <c r="T117" s="55" t="n"/>
      <c r="U117" s="55" t="n"/>
      <c r="V117" s="55" t="n"/>
      <c r="W117" s="55" t="n"/>
      <c r="X117" s="55" t="n"/>
      <c r="Y117" s="55" t="n"/>
    </row>
    <row r="118">
      <c r="S118" s="55" t="n"/>
      <c r="T118" s="55" t="n"/>
      <c r="U118" s="55" t="n"/>
      <c r="V118" s="55" t="n"/>
      <c r="W118" s="55" t="n"/>
      <c r="X118" s="55" t="n"/>
      <c r="Y118" s="55" t="n"/>
    </row>
    <row r="119">
      <c r="S119" s="55" t="n"/>
      <c r="T119" s="55" t="n"/>
      <c r="U119" s="55" t="n"/>
      <c r="V119" s="55" t="n"/>
      <c r="W119" s="55" t="n"/>
      <c r="X119" s="55" t="n"/>
      <c r="Y119" s="55" t="n"/>
    </row>
    <row r="120">
      <c r="S120" s="55" t="n"/>
      <c r="T120" s="55" t="n"/>
      <c r="U120" s="55" t="n"/>
      <c r="V120" s="55" t="n"/>
      <c r="W120" s="55" t="n"/>
      <c r="X120" s="55" t="n"/>
      <c r="Y120" s="55" t="n"/>
    </row>
    <row r="121">
      <c r="S121" s="55" t="n"/>
      <c r="T121" s="55" t="n"/>
      <c r="U121" s="55" t="n"/>
      <c r="V121" s="55" t="n"/>
      <c r="W121" s="55" t="n"/>
      <c r="X121" s="55" t="n"/>
      <c r="Y121" s="55" t="n"/>
    </row>
    <row r="122">
      <c r="S122" s="55" t="n"/>
      <c r="T122" s="55" t="n"/>
      <c r="U122" s="55" t="n"/>
      <c r="V122" s="55" t="n"/>
      <c r="W122" s="55" t="n"/>
      <c r="X122" s="55" t="n"/>
      <c r="Y122" s="55" t="n"/>
    </row>
    <row r="123">
      <c r="S123" s="55" t="n"/>
      <c r="T123" s="55" t="n"/>
      <c r="U123" s="55" t="n"/>
      <c r="V123" s="55" t="n"/>
      <c r="W123" s="55" t="n"/>
      <c r="X123" s="55" t="n"/>
      <c r="Y123" s="55" t="n"/>
    </row>
    <row r="124">
      <c r="S124" s="55" t="n"/>
      <c r="T124" s="55" t="n"/>
      <c r="U124" s="55" t="n"/>
      <c r="V124" s="55" t="n"/>
      <c r="W124" s="55" t="n"/>
      <c r="X124" s="55" t="n"/>
      <c r="Y124" s="55" t="n"/>
    </row>
    <row r="125">
      <c r="S125" s="55" t="n"/>
      <c r="T125" s="55" t="n"/>
      <c r="U125" s="55" t="n"/>
      <c r="V125" s="55" t="n"/>
      <c r="W125" s="55" t="n"/>
      <c r="X125" s="55" t="n"/>
      <c r="Y125" s="55" t="n"/>
    </row>
    <row r="126">
      <c r="S126" s="55" t="n"/>
      <c r="T126" s="55" t="n"/>
      <c r="U126" s="55" t="n"/>
      <c r="V126" s="55" t="n"/>
      <c r="W126" s="55" t="n"/>
      <c r="X126" s="55" t="n"/>
      <c r="Y126" s="55" t="n"/>
    </row>
    <row r="127">
      <c r="S127" s="55" t="n"/>
      <c r="T127" s="55" t="n"/>
      <c r="U127" s="55" t="n"/>
      <c r="V127" s="55" t="n"/>
      <c r="W127" s="55" t="n"/>
      <c r="X127" s="55" t="n"/>
      <c r="Y127" s="55" t="n"/>
    </row>
    <row r="128">
      <c r="S128" s="55" t="n"/>
      <c r="T128" s="55" t="n"/>
      <c r="U128" s="55" t="n"/>
      <c r="V128" s="55" t="n"/>
      <c r="W128" s="55" t="n"/>
      <c r="X128" s="55" t="n"/>
      <c r="Y128" s="55" t="n"/>
    </row>
    <row r="129">
      <c r="S129" s="55" t="n"/>
      <c r="T129" s="55" t="n"/>
      <c r="U129" s="55" t="n"/>
      <c r="V129" s="55" t="n"/>
      <c r="W129" s="55" t="n"/>
      <c r="X129" s="55" t="n"/>
      <c r="Y129" s="55" t="n"/>
    </row>
    <row r="130">
      <c r="S130" s="55" t="n"/>
      <c r="T130" s="55" t="n"/>
      <c r="U130" s="55" t="n"/>
      <c r="V130" s="55" t="n"/>
      <c r="W130" s="55" t="n"/>
      <c r="X130" s="55" t="n"/>
      <c r="Y130" s="55" t="n"/>
    </row>
    <row r="131">
      <c r="S131" s="55" t="n"/>
      <c r="T131" s="55" t="n"/>
      <c r="U131" s="55" t="n"/>
      <c r="V131" s="55" t="n"/>
      <c r="W131" s="55" t="n"/>
      <c r="X131" s="55" t="n"/>
      <c r="Y131" s="55" t="n"/>
    </row>
    <row r="132">
      <c r="S132" s="55" t="n"/>
      <c r="T132" s="55" t="n"/>
      <c r="U132" s="55" t="n"/>
      <c r="V132" s="55" t="n"/>
      <c r="W132" s="55" t="n"/>
      <c r="X132" s="55" t="n"/>
      <c r="Y132" s="55" t="n"/>
    </row>
    <row r="133">
      <c r="S133" s="55" t="n"/>
      <c r="T133" s="55" t="n"/>
      <c r="U133" s="55" t="n"/>
      <c r="V133" s="55" t="n"/>
      <c r="W133" s="55" t="n"/>
      <c r="X133" s="55" t="n"/>
      <c r="Y133" s="55" t="n"/>
    </row>
    <row r="134">
      <c r="S134" s="55" t="n"/>
      <c r="T134" s="55" t="n"/>
      <c r="U134" s="55" t="n"/>
      <c r="V134" s="55" t="n"/>
      <c r="W134" s="55" t="n"/>
      <c r="X134" s="55" t="n"/>
      <c r="Y134" s="55" t="n"/>
    </row>
    <row r="135">
      <c r="S135" s="55" t="n"/>
      <c r="T135" s="55" t="n"/>
      <c r="U135" s="55" t="n"/>
      <c r="V135" s="55" t="n"/>
      <c r="W135" s="55" t="n"/>
      <c r="X135" s="55" t="n"/>
      <c r="Y135" s="55" t="n"/>
    </row>
    <row r="136">
      <c r="S136" s="55" t="n"/>
      <c r="T136" s="55" t="n"/>
      <c r="U136" s="55" t="n"/>
      <c r="V136" s="55" t="n"/>
      <c r="W136" s="55" t="n"/>
      <c r="X136" s="55" t="n"/>
      <c r="Y136" s="55" t="n"/>
    </row>
    <row r="137">
      <c r="S137" s="55" t="n"/>
      <c r="T137" s="55" t="n"/>
      <c r="U137" s="55" t="n"/>
      <c r="V137" s="55" t="n"/>
      <c r="W137" s="55" t="n"/>
      <c r="X137" s="55" t="n"/>
      <c r="Y137" s="55" t="n"/>
    </row>
    <row r="138">
      <c r="S138" s="55" t="n"/>
      <c r="T138" s="55" t="n"/>
      <c r="U138" s="55" t="n"/>
      <c r="V138" s="55" t="n"/>
      <c r="W138" s="55" t="n"/>
      <c r="X138" s="55" t="n"/>
      <c r="Y138" s="55" t="n"/>
    </row>
    <row r="139">
      <c r="S139" s="55" t="n"/>
      <c r="T139" s="55" t="n"/>
      <c r="U139" s="55" t="n"/>
      <c r="V139" s="55" t="n"/>
      <c r="W139" s="55" t="n"/>
      <c r="X139" s="55" t="n"/>
      <c r="Y139" s="55" t="n"/>
    </row>
    <row r="140">
      <c r="S140" s="55" t="n"/>
      <c r="T140" s="55" t="n"/>
      <c r="U140" s="55" t="n"/>
      <c r="V140" s="55" t="n"/>
      <c r="W140" s="55" t="n"/>
      <c r="X140" s="55" t="n"/>
      <c r="Y140" s="55" t="n"/>
    </row>
    <row r="141">
      <c r="S141" s="55" t="n"/>
      <c r="T141" s="55" t="n"/>
      <c r="U141" s="55" t="n"/>
      <c r="V141" s="55" t="n"/>
      <c r="W141" s="55" t="n"/>
      <c r="X141" s="55" t="n"/>
      <c r="Y141" s="55" t="n"/>
    </row>
    <row r="142">
      <c r="S142" s="55" t="n"/>
      <c r="T142" s="55" t="n"/>
      <c r="U142" s="55" t="n"/>
      <c r="V142" s="55" t="n"/>
      <c r="W142" s="55" t="n"/>
      <c r="X142" s="55" t="n"/>
      <c r="Y142" s="55" t="n"/>
    </row>
    <row r="143">
      <c r="S143" s="55" t="n"/>
      <c r="T143" s="55" t="n"/>
      <c r="U143" s="55" t="n"/>
      <c r="V143" s="55" t="n"/>
      <c r="W143" s="55" t="n"/>
      <c r="X143" s="55" t="n"/>
      <c r="Y143" s="55" t="n"/>
    </row>
    <row r="144">
      <c r="S144" s="55" t="n"/>
      <c r="T144" s="55" t="n"/>
      <c r="U144" s="55" t="n"/>
      <c r="V144" s="55" t="n"/>
      <c r="W144" s="55" t="n"/>
      <c r="X144" s="55" t="n"/>
      <c r="Y144" s="55" t="n"/>
    </row>
    <row r="145">
      <c r="S145" s="55" t="n"/>
      <c r="T145" s="55" t="n"/>
      <c r="U145" s="55" t="n"/>
      <c r="V145" s="55" t="n"/>
      <c r="W145" s="55" t="n"/>
      <c r="X145" s="55" t="n"/>
      <c r="Y145" s="55" t="n"/>
    </row>
    <row r="146">
      <c r="S146" s="55" t="n"/>
      <c r="T146" s="55" t="n"/>
      <c r="U146" s="55" t="n"/>
      <c r="V146" s="55" t="n"/>
      <c r="W146" s="55" t="n"/>
      <c r="X146" s="55" t="n"/>
      <c r="Y146" s="55" t="n"/>
    </row>
    <row r="147">
      <c r="S147" s="55" t="n"/>
      <c r="T147" s="55" t="n"/>
      <c r="U147" s="55" t="n"/>
      <c r="V147" s="55" t="n"/>
      <c r="W147" s="55" t="n"/>
      <c r="X147" s="55" t="n"/>
      <c r="Y147" s="55" t="n"/>
    </row>
    <row r="148">
      <c r="S148" s="55" t="n"/>
      <c r="T148" s="55" t="n"/>
      <c r="U148" s="55" t="n"/>
      <c r="V148" s="55" t="n"/>
      <c r="W148" s="55" t="n"/>
      <c r="X148" s="55" t="n"/>
      <c r="Y148" s="55" t="n"/>
    </row>
    <row r="149">
      <c r="S149" s="55" t="n"/>
      <c r="T149" s="55" t="n"/>
      <c r="U149" s="55" t="n"/>
      <c r="V149" s="55" t="n"/>
      <c r="W149" s="55" t="n"/>
      <c r="X149" s="55" t="n"/>
      <c r="Y149" s="55" t="n"/>
    </row>
    <row r="150">
      <c r="S150" s="55" t="n"/>
      <c r="T150" s="55" t="n"/>
      <c r="U150" s="55" t="n"/>
      <c r="V150" s="55" t="n"/>
      <c r="W150" s="55" t="n"/>
      <c r="X150" s="55" t="n"/>
      <c r="Y150" s="55" t="n"/>
    </row>
    <row r="151">
      <c r="S151" s="55" t="n"/>
      <c r="T151" s="55" t="n"/>
      <c r="U151" s="55" t="n"/>
      <c r="V151" s="55" t="n"/>
      <c r="W151" s="55" t="n"/>
      <c r="X151" s="55" t="n"/>
      <c r="Y151" s="55" t="n"/>
    </row>
    <row r="152">
      <c r="S152" s="55" t="n"/>
      <c r="T152" s="55" t="n"/>
      <c r="U152" s="55" t="n"/>
      <c r="V152" s="55" t="n"/>
      <c r="W152" s="55" t="n"/>
      <c r="X152" s="55" t="n"/>
      <c r="Y152" s="55" t="n"/>
    </row>
    <row r="153">
      <c r="S153" s="55" t="n"/>
      <c r="T153" s="55" t="n"/>
      <c r="U153" s="55" t="n"/>
      <c r="V153" s="55" t="n"/>
      <c r="W153" s="55" t="n"/>
      <c r="X153" s="55" t="n"/>
      <c r="Y153" s="55" t="n"/>
    </row>
    <row r="154">
      <c r="S154" s="55" t="n"/>
      <c r="T154" s="55" t="n"/>
      <c r="U154" s="55" t="n"/>
      <c r="V154" s="55" t="n"/>
      <c r="W154" s="55" t="n"/>
      <c r="X154" s="55" t="n"/>
      <c r="Y154" s="55" t="n"/>
    </row>
    <row r="155">
      <c r="S155" s="55" t="n"/>
      <c r="T155" s="55" t="n"/>
      <c r="U155" s="55" t="n"/>
      <c r="V155" s="55" t="n"/>
      <c r="W155" s="55" t="n"/>
      <c r="X155" s="55" t="n"/>
      <c r="Y155" s="55" t="n"/>
    </row>
    <row r="156">
      <c r="S156" s="55" t="n"/>
      <c r="T156" s="55" t="n"/>
      <c r="U156" s="55" t="n"/>
      <c r="V156" s="55" t="n"/>
      <c r="W156" s="55" t="n"/>
      <c r="X156" s="55" t="n"/>
      <c r="Y156" s="55" t="n"/>
    </row>
    <row r="157">
      <c r="S157" s="55" t="n"/>
      <c r="T157" s="55" t="n"/>
      <c r="U157" s="55" t="n"/>
      <c r="V157" s="55" t="n"/>
      <c r="W157" s="55" t="n"/>
      <c r="X157" s="55" t="n"/>
      <c r="Y157" s="55" t="n"/>
    </row>
    <row r="158">
      <c r="S158" s="55" t="n"/>
      <c r="T158" s="55" t="n"/>
      <c r="U158" s="55" t="n"/>
      <c r="V158" s="55" t="n"/>
      <c r="W158" s="55" t="n"/>
      <c r="X158" s="55" t="n"/>
      <c r="Y158" s="55" t="n"/>
    </row>
    <row r="159">
      <c r="S159" s="55" t="n"/>
      <c r="T159" s="55" t="n"/>
      <c r="U159" s="55" t="n"/>
      <c r="V159" s="55" t="n"/>
      <c r="W159" s="55" t="n"/>
      <c r="X159" s="55" t="n"/>
      <c r="Y159" s="55" t="n"/>
    </row>
    <row r="160">
      <c r="S160" s="55" t="n"/>
      <c r="T160" s="55" t="n"/>
      <c r="U160" s="55" t="n"/>
      <c r="V160" s="55" t="n"/>
      <c r="W160" s="55" t="n"/>
      <c r="X160" s="55" t="n"/>
      <c r="Y160" s="55" t="n"/>
    </row>
    <row r="161">
      <c r="S161" s="55" t="n"/>
      <c r="T161" s="55" t="n"/>
      <c r="U161" s="55" t="n"/>
      <c r="V161" s="55" t="n"/>
      <c r="W161" s="55" t="n"/>
      <c r="X161" s="55" t="n"/>
      <c r="Y161" s="55" t="n"/>
    </row>
    <row r="162">
      <c r="S162" s="55" t="n"/>
      <c r="T162" s="55" t="n"/>
      <c r="U162" s="55" t="n"/>
      <c r="V162" s="55" t="n"/>
      <c r="W162" s="55" t="n"/>
      <c r="X162" s="55" t="n"/>
      <c r="Y162" s="55" t="n"/>
    </row>
    <row r="163">
      <c r="S163" s="55" t="n"/>
      <c r="T163" s="55" t="n"/>
      <c r="U163" s="55" t="n"/>
      <c r="V163" s="55" t="n"/>
      <c r="W163" s="55" t="n"/>
      <c r="X163" s="55" t="n"/>
      <c r="Y163" s="55" t="n"/>
    </row>
    <row r="164">
      <c r="S164" s="55" t="n"/>
      <c r="T164" s="55" t="n"/>
      <c r="U164" s="55" t="n"/>
      <c r="V164" s="55" t="n"/>
      <c r="W164" s="55" t="n"/>
      <c r="X164" s="55" t="n"/>
      <c r="Y164" s="55" t="n"/>
    </row>
    <row r="165">
      <c r="S165" s="55" t="n"/>
      <c r="T165" s="55" t="n"/>
      <c r="U165" s="55" t="n"/>
      <c r="V165" s="55" t="n"/>
      <c r="W165" s="55" t="n"/>
      <c r="X165" s="55" t="n"/>
      <c r="Y165" s="55" t="n"/>
    </row>
    <row r="166">
      <c r="S166" s="55" t="n"/>
      <c r="T166" s="55" t="n"/>
      <c r="U166" s="55" t="n"/>
      <c r="V166" s="55" t="n"/>
      <c r="W166" s="55" t="n"/>
      <c r="X166" s="55" t="n"/>
      <c r="Y166" s="55" t="n"/>
    </row>
    <row r="167">
      <c r="S167" s="55" t="n"/>
      <c r="T167" s="55" t="n"/>
      <c r="U167" s="55" t="n"/>
      <c r="V167" s="55" t="n"/>
      <c r="W167" s="55" t="n"/>
      <c r="X167" s="55" t="n"/>
      <c r="Y167" s="55" t="n"/>
    </row>
    <row r="168">
      <c r="S168" s="55" t="n"/>
      <c r="T168" s="55" t="n"/>
      <c r="U168" s="55" t="n"/>
      <c r="V168" s="55" t="n"/>
      <c r="W168" s="55" t="n"/>
      <c r="X168" s="55" t="n"/>
      <c r="Y168" s="55" t="n"/>
    </row>
    <row r="169">
      <c r="S169" s="55" t="n"/>
      <c r="T169" s="55" t="n"/>
      <c r="U169" s="55" t="n"/>
      <c r="V169" s="55" t="n"/>
      <c r="W169" s="55" t="n"/>
      <c r="X169" s="55" t="n"/>
      <c r="Y169" s="55" t="n"/>
    </row>
    <row r="170">
      <c r="S170" s="55" t="n"/>
      <c r="T170" s="55" t="n"/>
      <c r="U170" s="55" t="n"/>
      <c r="V170" s="55" t="n"/>
      <c r="W170" s="55" t="n"/>
      <c r="X170" s="55" t="n"/>
      <c r="Y170" s="55" t="n"/>
    </row>
    <row r="171">
      <c r="S171" s="55" t="n"/>
      <c r="T171" s="55" t="n"/>
      <c r="U171" s="55" t="n"/>
      <c r="V171" s="55" t="n"/>
      <c r="W171" s="55" t="n"/>
      <c r="X171" s="55" t="n"/>
      <c r="Y171" s="55" t="n"/>
    </row>
    <row r="172">
      <c r="S172" s="55" t="n"/>
      <c r="T172" s="55" t="n"/>
      <c r="U172" s="55" t="n"/>
      <c r="V172" s="55" t="n"/>
      <c r="W172" s="55" t="n"/>
      <c r="X172" s="55" t="n"/>
      <c r="Y172" s="55" t="n"/>
    </row>
    <row r="173">
      <c r="S173" s="55" t="n"/>
      <c r="T173" s="55" t="n"/>
      <c r="U173" s="55" t="n"/>
      <c r="V173" s="55" t="n"/>
      <c r="W173" s="55" t="n"/>
      <c r="X173" s="55" t="n"/>
      <c r="Y173" s="55" t="n"/>
    </row>
    <row r="174">
      <c r="S174" s="55" t="n"/>
      <c r="T174" s="55" t="n"/>
      <c r="U174" s="55" t="n"/>
      <c r="V174" s="55" t="n"/>
      <c r="W174" s="55" t="n"/>
      <c r="X174" s="55" t="n"/>
      <c r="Y174" s="55" t="n"/>
    </row>
    <row r="175">
      <c r="S175" s="55" t="n"/>
      <c r="T175" s="55" t="n"/>
      <c r="U175" s="55" t="n"/>
      <c r="V175" s="55" t="n"/>
      <c r="W175" s="55" t="n"/>
      <c r="X175" s="55" t="n"/>
      <c r="Y175" s="55" t="n"/>
    </row>
    <row r="176">
      <c r="S176" s="55" t="n"/>
      <c r="T176" s="55" t="n"/>
      <c r="U176" s="55" t="n"/>
      <c r="V176" s="55" t="n"/>
      <c r="W176" s="55" t="n"/>
      <c r="X176" s="55" t="n"/>
      <c r="Y176" s="55" t="n"/>
    </row>
    <row r="177">
      <c r="S177" s="55" t="n"/>
      <c r="T177" s="55" t="n"/>
      <c r="U177" s="55" t="n"/>
      <c r="V177" s="55" t="n"/>
      <c r="W177" s="55" t="n"/>
      <c r="X177" s="55" t="n"/>
      <c r="Y177" s="55" t="n"/>
    </row>
    <row r="178">
      <c r="S178" s="55" t="n"/>
      <c r="T178" s="55" t="n"/>
      <c r="U178" s="55" t="n"/>
      <c r="V178" s="55" t="n"/>
      <c r="W178" s="55" t="n"/>
      <c r="X178" s="55" t="n"/>
      <c r="Y178" s="55" t="n"/>
    </row>
    <row r="179">
      <c r="S179" s="55" t="n"/>
      <c r="T179" s="55" t="n"/>
      <c r="U179" s="55" t="n"/>
      <c r="V179" s="55" t="n"/>
      <c r="W179" s="55" t="n"/>
      <c r="X179" s="55" t="n"/>
      <c r="Y179" s="55" t="n"/>
    </row>
    <row r="180">
      <c r="S180" s="55" t="n"/>
      <c r="T180" s="55" t="n"/>
      <c r="U180" s="55" t="n"/>
      <c r="V180" s="55" t="n"/>
      <c r="W180" s="55" t="n"/>
      <c r="X180" s="55" t="n"/>
      <c r="Y180" s="55" t="n"/>
    </row>
    <row r="181">
      <c r="S181" s="55" t="n"/>
      <c r="T181" s="55" t="n"/>
      <c r="U181" s="55" t="n"/>
      <c r="V181" s="55" t="n"/>
      <c r="W181" s="55" t="n"/>
      <c r="X181" s="55" t="n"/>
      <c r="Y181" s="55" t="n"/>
    </row>
    <row r="182">
      <c r="S182" s="55" t="n"/>
      <c r="T182" s="55" t="n"/>
      <c r="U182" s="55" t="n"/>
      <c r="V182" s="55" t="n"/>
      <c r="W182" s="55" t="n"/>
      <c r="X182" s="55" t="n"/>
      <c r="Y182" s="55" t="n"/>
    </row>
    <row r="183">
      <c r="S183" s="55" t="n"/>
      <c r="T183" s="55" t="n"/>
      <c r="U183" s="55" t="n"/>
      <c r="V183" s="55" t="n"/>
      <c r="W183" s="55" t="n"/>
      <c r="X183" s="55" t="n"/>
      <c r="Y183" s="55" t="n"/>
    </row>
    <row r="184">
      <c r="S184" s="55" t="n"/>
      <c r="T184" s="55" t="n"/>
      <c r="U184" s="55" t="n"/>
      <c r="V184" s="55" t="n"/>
      <c r="W184" s="55" t="n"/>
      <c r="X184" s="55" t="n"/>
      <c r="Y184" s="55" t="n"/>
    </row>
    <row r="185">
      <c r="S185" s="55" t="n"/>
      <c r="T185" s="55" t="n"/>
      <c r="U185" s="55" t="n"/>
      <c r="V185" s="55" t="n"/>
      <c r="W185" s="55" t="n"/>
      <c r="X185" s="55" t="n"/>
      <c r="Y185" s="55" t="n"/>
    </row>
    <row r="186">
      <c r="S186" s="55" t="n"/>
      <c r="T186" s="55" t="n"/>
      <c r="U186" s="55" t="n"/>
      <c r="V186" s="55" t="n"/>
      <c r="W186" s="55" t="n"/>
      <c r="X186" s="55" t="n"/>
      <c r="Y186" s="55" t="n"/>
    </row>
    <row r="187">
      <c r="S187" s="55" t="n"/>
      <c r="T187" s="55" t="n"/>
      <c r="U187" s="55" t="n"/>
      <c r="V187" s="55" t="n"/>
      <c r="W187" s="55" t="n"/>
      <c r="X187" s="55" t="n"/>
      <c r="Y187" s="55" t="n"/>
    </row>
    <row r="188">
      <c r="S188" s="55" t="n"/>
      <c r="T188" s="55" t="n"/>
      <c r="U188" s="55" t="n"/>
      <c r="V188" s="55" t="n"/>
      <c r="W188" s="55" t="n"/>
      <c r="X188" s="55" t="n"/>
      <c r="Y188" s="55" t="n"/>
    </row>
    <row r="189">
      <c r="S189" s="55" t="n"/>
      <c r="T189" s="55" t="n"/>
      <c r="U189" s="55" t="n"/>
      <c r="V189" s="55" t="n"/>
      <c r="W189" s="55" t="n"/>
      <c r="X189" s="55" t="n"/>
      <c r="Y189" s="55" t="n"/>
    </row>
    <row r="190">
      <c r="S190" s="55" t="n"/>
      <c r="T190" s="55" t="n"/>
      <c r="U190" s="55" t="n"/>
      <c r="V190" s="55" t="n"/>
      <c r="W190" s="55" t="n"/>
      <c r="X190" s="55" t="n"/>
      <c r="Y190" s="55" t="n"/>
    </row>
    <row r="191">
      <c r="S191" s="55" t="n"/>
      <c r="T191" s="55" t="n"/>
      <c r="U191" s="55" t="n"/>
      <c r="V191" s="55" t="n"/>
      <c r="W191" s="55" t="n"/>
      <c r="X191" s="55" t="n"/>
      <c r="Y191" s="55" t="n"/>
    </row>
    <row r="192">
      <c r="S192" s="55" t="n"/>
      <c r="T192" s="55" t="n"/>
      <c r="U192" s="55" t="n"/>
      <c r="V192" s="55" t="n"/>
      <c r="W192" s="55" t="n"/>
      <c r="X192" s="55" t="n"/>
      <c r="Y192" s="55" t="n"/>
    </row>
    <row r="193">
      <c r="S193" s="55" t="n"/>
      <c r="T193" s="55" t="n"/>
      <c r="U193" s="55" t="n"/>
      <c r="V193" s="55" t="n"/>
      <c r="W193" s="55" t="n"/>
      <c r="X193" s="55" t="n"/>
      <c r="Y193" s="55" t="n"/>
    </row>
    <row r="194">
      <c r="S194" s="55" t="n"/>
      <c r="T194" s="55" t="n"/>
      <c r="U194" s="55" t="n"/>
      <c r="V194" s="55" t="n"/>
      <c r="W194" s="55" t="n"/>
      <c r="X194" s="55" t="n"/>
      <c r="Y194" s="55" t="n"/>
    </row>
    <row r="195">
      <c r="S195" s="55" t="n"/>
      <c r="T195" s="55" t="n"/>
      <c r="U195" s="55" t="n"/>
      <c r="V195" s="55" t="n"/>
      <c r="W195" s="55" t="n"/>
      <c r="X195" s="55" t="n"/>
      <c r="Y195" s="55" t="n"/>
    </row>
    <row r="196">
      <c r="S196" s="55" t="n"/>
      <c r="T196" s="55" t="n"/>
      <c r="U196" s="55" t="n"/>
      <c r="V196" s="55" t="n"/>
      <c r="W196" s="55" t="n"/>
      <c r="X196" s="55" t="n"/>
      <c r="Y196" s="55" t="n"/>
    </row>
    <row r="197">
      <c r="S197" s="55" t="n"/>
      <c r="T197" s="55" t="n"/>
      <c r="U197" s="55" t="n"/>
      <c r="V197" s="55" t="n"/>
      <c r="W197" s="55" t="n"/>
      <c r="X197" s="55" t="n"/>
      <c r="Y197" s="55" t="n"/>
    </row>
    <row r="198">
      <c r="S198" s="55" t="n"/>
      <c r="T198" s="55" t="n"/>
      <c r="U198" s="55" t="n"/>
      <c r="V198" s="55" t="n"/>
      <c r="W198" s="55" t="n"/>
      <c r="X198" s="55" t="n"/>
      <c r="Y198" s="55" t="n"/>
    </row>
    <row r="199">
      <c r="S199" s="55" t="n"/>
      <c r="T199" s="55" t="n"/>
      <c r="U199" s="55" t="n"/>
      <c r="V199" s="55" t="n"/>
      <c r="W199" s="55" t="n"/>
      <c r="X199" s="55" t="n"/>
      <c r="Y199" s="55" t="n"/>
    </row>
    <row r="200">
      <c r="S200" s="55" t="n"/>
      <c r="T200" s="55" t="n"/>
      <c r="U200" s="55" t="n"/>
      <c r="V200" s="55" t="n"/>
      <c r="W200" s="55" t="n"/>
      <c r="X200" s="55" t="n"/>
      <c r="Y200" s="55" t="n"/>
    </row>
    <row r="201">
      <c r="S201" s="55" t="n"/>
      <c r="T201" s="55" t="n"/>
      <c r="U201" s="55" t="n"/>
      <c r="V201" s="55" t="n"/>
      <c r="W201" s="55" t="n"/>
      <c r="X201" s="55" t="n"/>
      <c r="Y201" s="55" t="n"/>
    </row>
    <row r="202">
      <c r="S202" s="55" t="n"/>
      <c r="T202" s="55" t="n"/>
      <c r="U202" s="55" t="n"/>
      <c r="V202" s="55" t="n"/>
      <c r="W202" s="55" t="n"/>
      <c r="X202" s="55" t="n"/>
      <c r="Y202" s="55" t="n"/>
    </row>
    <row r="203">
      <c r="S203" s="55" t="n"/>
      <c r="T203" s="55" t="n"/>
      <c r="U203" s="55" t="n"/>
      <c r="V203" s="55" t="n"/>
      <c r="W203" s="55" t="n"/>
      <c r="X203" s="55" t="n"/>
      <c r="Y203" s="55" t="n"/>
    </row>
    <row r="204">
      <c r="S204" s="55" t="n"/>
      <c r="T204" s="55" t="n"/>
      <c r="U204" s="55" t="n"/>
      <c r="V204" s="55" t="n"/>
      <c r="W204" s="55" t="n"/>
      <c r="X204" s="55" t="n"/>
      <c r="Y204" s="55" t="n"/>
    </row>
    <row r="205">
      <c r="S205" s="55" t="n"/>
      <c r="T205" s="55" t="n"/>
      <c r="U205" s="55" t="n"/>
      <c r="V205" s="55" t="n"/>
      <c r="W205" s="55" t="n"/>
      <c r="X205" s="55" t="n"/>
      <c r="Y205" s="55" t="n"/>
    </row>
    <row r="206">
      <c r="S206" s="55" t="n"/>
      <c r="T206" s="55" t="n"/>
      <c r="U206" s="55" t="n"/>
      <c r="V206" s="55" t="n"/>
      <c r="W206" s="55" t="n"/>
      <c r="X206" s="55" t="n"/>
      <c r="Y206" s="55" t="n"/>
    </row>
    <row r="207">
      <c r="S207" s="55" t="n"/>
      <c r="T207" s="55" t="n"/>
      <c r="U207" s="55" t="n"/>
      <c r="V207" s="55" t="n"/>
      <c r="W207" s="55" t="n"/>
      <c r="X207" s="55" t="n"/>
      <c r="Y207" s="55" t="n"/>
    </row>
    <row r="208">
      <c r="S208" s="55" t="n"/>
      <c r="T208" s="55" t="n"/>
      <c r="U208" s="55" t="n"/>
      <c r="V208" s="55" t="n"/>
      <c r="W208" s="55" t="n"/>
      <c r="X208" s="55" t="n"/>
      <c r="Y208" s="55" t="n"/>
    </row>
    <row r="209">
      <c r="S209" s="55" t="n"/>
      <c r="T209" s="55" t="n"/>
      <c r="U209" s="55" t="n"/>
      <c r="V209" s="55" t="n"/>
      <c r="W209" s="55" t="n"/>
      <c r="X209" s="55" t="n"/>
      <c r="Y209" s="55" t="n"/>
    </row>
    <row r="210">
      <c r="S210" s="55" t="n"/>
      <c r="T210" s="55" t="n"/>
      <c r="U210" s="55" t="n"/>
      <c r="V210" s="55" t="n"/>
      <c r="W210" s="55" t="n"/>
      <c r="X210" s="55" t="n"/>
      <c r="Y210" s="55" t="n"/>
    </row>
    <row r="211">
      <c r="S211" s="55" t="n"/>
      <c r="T211" s="55" t="n"/>
      <c r="U211" s="55" t="n"/>
      <c r="V211" s="55" t="n"/>
      <c r="W211" s="55" t="n"/>
      <c r="X211" s="55" t="n"/>
      <c r="Y211" s="55" t="n"/>
    </row>
    <row r="212">
      <c r="S212" s="55" t="n"/>
      <c r="T212" s="55" t="n"/>
      <c r="U212" s="55" t="n"/>
      <c r="V212" s="55" t="n"/>
      <c r="W212" s="55" t="n"/>
      <c r="X212" s="55" t="n"/>
      <c r="Y212" s="55" t="n"/>
    </row>
    <row r="213">
      <c r="S213" s="55" t="n"/>
      <c r="T213" s="55" t="n"/>
      <c r="U213" s="55" t="n"/>
      <c r="V213" s="55" t="n"/>
      <c r="W213" s="55" t="n"/>
      <c r="X213" s="55" t="n"/>
      <c r="Y213" s="55" t="n"/>
    </row>
    <row r="214">
      <c r="S214" s="55" t="n"/>
      <c r="T214" s="55" t="n"/>
      <c r="U214" s="55" t="n"/>
      <c r="V214" s="55" t="n"/>
      <c r="W214" s="55" t="n"/>
      <c r="X214" s="55" t="n"/>
      <c r="Y214" s="55" t="n"/>
    </row>
    <row r="215">
      <c r="S215" s="55" t="n"/>
      <c r="T215" s="55" t="n"/>
      <c r="U215" s="55" t="n"/>
      <c r="V215" s="55" t="n"/>
      <c r="W215" s="55" t="n"/>
      <c r="X215" s="55" t="n"/>
      <c r="Y215" s="55" t="n"/>
    </row>
    <row r="216">
      <c r="S216" s="55" t="n"/>
      <c r="T216" s="55" t="n"/>
      <c r="U216" s="55" t="n"/>
      <c r="V216" s="55" t="n"/>
      <c r="W216" s="55" t="n"/>
      <c r="X216" s="55" t="n"/>
      <c r="Y216" s="55" t="n"/>
    </row>
    <row r="217">
      <c r="S217" s="55" t="n"/>
      <c r="T217" s="55" t="n"/>
      <c r="U217" s="55" t="n"/>
      <c r="V217" s="55" t="n"/>
      <c r="W217" s="55" t="n"/>
      <c r="X217" s="55" t="n"/>
      <c r="Y217" s="55" t="n"/>
    </row>
    <row r="218">
      <c r="S218" s="55" t="n"/>
      <c r="T218" s="55" t="n"/>
      <c r="U218" s="55" t="n"/>
      <c r="V218" s="55" t="n"/>
      <c r="W218" s="55" t="n"/>
      <c r="X218" s="55" t="n"/>
      <c r="Y218" s="55" t="n"/>
    </row>
    <row r="219">
      <c r="S219" s="55" t="n"/>
      <c r="T219" s="55" t="n"/>
      <c r="U219" s="55" t="n"/>
      <c r="V219" s="55" t="n"/>
      <c r="W219" s="55" t="n"/>
      <c r="X219" s="55" t="n"/>
      <c r="Y219" s="55" t="n"/>
    </row>
    <row r="220">
      <c r="S220" s="55" t="n"/>
      <c r="T220" s="55" t="n"/>
      <c r="U220" s="55" t="n"/>
      <c r="V220" s="55" t="n"/>
      <c r="W220" s="55" t="n"/>
      <c r="X220" s="55" t="n"/>
      <c r="Y220" s="55" t="n"/>
    </row>
    <row r="221">
      <c r="S221" s="55" t="n"/>
      <c r="T221" s="55" t="n"/>
      <c r="U221" s="55" t="n"/>
      <c r="V221" s="55" t="n"/>
      <c r="W221" s="55" t="n"/>
      <c r="X221" s="55" t="n"/>
      <c r="Y221" s="55" t="n"/>
    </row>
    <row r="222">
      <c r="S222" s="55" t="n"/>
      <c r="T222" s="55" t="n"/>
      <c r="U222" s="55" t="n"/>
      <c r="V222" s="55" t="n"/>
      <c r="W222" s="55" t="n"/>
      <c r="X222" s="55" t="n"/>
      <c r="Y222" s="55" t="n"/>
    </row>
    <row r="223">
      <c r="S223" s="55" t="n"/>
      <c r="T223" s="55" t="n"/>
      <c r="U223" s="55" t="n"/>
      <c r="V223" s="55" t="n"/>
      <c r="W223" s="55" t="n"/>
      <c r="X223" s="55" t="n"/>
      <c r="Y223" s="55" t="n"/>
    </row>
    <row r="224">
      <c r="S224" s="55" t="n"/>
      <c r="T224" s="55" t="n"/>
      <c r="U224" s="55" t="n"/>
      <c r="V224" s="55" t="n"/>
      <c r="W224" s="55" t="n"/>
      <c r="X224" s="55" t="n"/>
      <c r="Y224" s="55" t="n"/>
    </row>
    <row r="225">
      <c r="S225" s="55" t="n"/>
      <c r="T225" s="55" t="n"/>
      <c r="U225" s="55" t="n"/>
      <c r="V225" s="55" t="n"/>
      <c r="W225" s="55" t="n"/>
      <c r="X225" s="55" t="n"/>
      <c r="Y225" s="55" t="n"/>
    </row>
    <row r="226">
      <c r="S226" s="55" t="n"/>
      <c r="T226" s="55" t="n"/>
      <c r="U226" s="55" t="n"/>
      <c r="V226" s="55" t="n"/>
      <c r="W226" s="55" t="n"/>
      <c r="X226" s="55" t="n"/>
      <c r="Y226" s="55" t="n"/>
    </row>
    <row r="227">
      <c r="S227" s="55" t="n"/>
      <c r="T227" s="55" t="n"/>
      <c r="U227" s="55" t="n"/>
      <c r="V227" s="55" t="n"/>
      <c r="W227" s="55" t="n"/>
      <c r="X227" s="55" t="n"/>
      <c r="Y227" s="55" t="n"/>
    </row>
    <row r="228">
      <c r="S228" s="55" t="n"/>
      <c r="T228" s="55" t="n"/>
      <c r="U228" s="55" t="n"/>
      <c r="V228" s="55" t="n"/>
      <c r="W228" s="55" t="n"/>
      <c r="X228" s="55" t="n"/>
      <c r="Y228" s="55" t="n"/>
    </row>
    <row r="229">
      <c r="S229" s="55" t="n"/>
      <c r="T229" s="55" t="n"/>
      <c r="U229" s="55" t="n"/>
      <c r="V229" s="55" t="n"/>
      <c r="W229" s="55" t="n"/>
      <c r="X229" s="55" t="n"/>
      <c r="Y229" s="55" t="n"/>
    </row>
    <row r="230">
      <c r="S230" s="55" t="n"/>
      <c r="T230" s="55" t="n"/>
      <c r="U230" s="55" t="n"/>
      <c r="V230" s="55" t="n"/>
      <c r="W230" s="55" t="n"/>
      <c r="X230" s="55" t="n"/>
      <c r="Y230" s="55" t="n"/>
    </row>
    <row r="231">
      <c r="S231" s="55" t="n"/>
      <c r="T231" s="55" t="n"/>
      <c r="U231" s="55" t="n"/>
      <c r="V231" s="55" t="n"/>
      <c r="W231" s="55" t="n"/>
      <c r="X231" s="55" t="n"/>
      <c r="Y231" s="55" t="n"/>
    </row>
    <row r="232">
      <c r="S232" s="55" t="n"/>
      <c r="T232" s="55" t="n"/>
      <c r="U232" s="55" t="n"/>
      <c r="V232" s="55" t="n"/>
      <c r="W232" s="55" t="n"/>
      <c r="X232" s="55" t="n"/>
      <c r="Y232" s="55" t="n"/>
    </row>
    <row r="233">
      <c r="S233" s="55" t="n"/>
      <c r="T233" s="55" t="n"/>
      <c r="U233" s="55" t="n"/>
      <c r="V233" s="55" t="n"/>
      <c r="W233" s="55" t="n"/>
      <c r="X233" s="55" t="n"/>
      <c r="Y233" s="55" t="n"/>
    </row>
    <row r="234">
      <c r="S234" s="55" t="n"/>
      <c r="T234" s="55" t="n"/>
      <c r="U234" s="55" t="n"/>
      <c r="V234" s="55" t="n"/>
      <c r="W234" s="55" t="n"/>
      <c r="X234" s="55" t="n"/>
      <c r="Y234" s="55" t="n"/>
    </row>
    <row r="235">
      <c r="S235" s="55" t="n"/>
      <c r="T235" s="55" t="n"/>
      <c r="U235" s="55" t="n"/>
      <c r="V235" s="55" t="n"/>
      <c r="W235" s="55" t="n"/>
      <c r="X235" s="55" t="n"/>
      <c r="Y235" s="55" t="n"/>
    </row>
    <row r="236">
      <c r="S236" s="55" t="n"/>
      <c r="T236" s="55" t="n"/>
      <c r="U236" s="55" t="n"/>
      <c r="V236" s="55" t="n"/>
      <c r="W236" s="55" t="n"/>
      <c r="X236" s="55" t="n"/>
      <c r="Y236" s="55" t="n"/>
    </row>
    <row r="237">
      <c r="S237" s="55" t="n"/>
      <c r="T237" s="55" t="n"/>
      <c r="U237" s="55" t="n"/>
      <c r="V237" s="55" t="n"/>
      <c r="W237" s="55" t="n"/>
      <c r="X237" s="55" t="n"/>
      <c r="Y237" s="55" t="n"/>
    </row>
    <row r="238">
      <c r="S238" s="55" t="n"/>
      <c r="T238" s="55" t="n"/>
      <c r="U238" s="55" t="n"/>
      <c r="V238" s="55" t="n"/>
      <c r="W238" s="55" t="n"/>
      <c r="X238" s="55" t="n"/>
      <c r="Y238" s="55" t="n"/>
    </row>
    <row r="239">
      <c r="S239" s="55" t="n"/>
      <c r="T239" s="55" t="n"/>
      <c r="U239" s="55" t="n"/>
      <c r="V239" s="55" t="n"/>
      <c r="W239" s="55" t="n"/>
      <c r="X239" s="55" t="n"/>
      <c r="Y239" s="55" t="n"/>
    </row>
    <row r="240">
      <c r="S240" s="55" t="n"/>
      <c r="T240" s="55" t="n"/>
      <c r="U240" s="55" t="n"/>
      <c r="V240" s="55" t="n"/>
      <c r="W240" s="55" t="n"/>
      <c r="X240" s="55" t="n"/>
      <c r="Y240" s="55" t="n"/>
    </row>
    <row r="241">
      <c r="S241" s="55" t="n"/>
      <c r="T241" s="55" t="n"/>
      <c r="U241" s="55" t="n"/>
      <c r="V241" s="55" t="n"/>
      <c r="W241" s="55" t="n"/>
      <c r="X241" s="55" t="n"/>
      <c r="Y241" s="55" t="n"/>
    </row>
    <row r="242">
      <c r="S242" s="55" t="n"/>
      <c r="T242" s="55" t="n"/>
      <c r="U242" s="55" t="n"/>
      <c r="V242" s="55" t="n"/>
      <c r="W242" s="55" t="n"/>
      <c r="X242" s="55" t="n"/>
      <c r="Y242" s="55" t="n"/>
    </row>
    <row r="243">
      <c r="S243" s="55" t="n"/>
      <c r="T243" s="55" t="n"/>
      <c r="U243" s="55" t="n"/>
      <c r="V243" s="55" t="n"/>
      <c r="W243" s="55" t="n"/>
      <c r="X243" s="55" t="n"/>
      <c r="Y243" s="55" t="n"/>
    </row>
    <row r="244">
      <c r="S244" s="55" t="n"/>
      <c r="T244" s="55" t="n"/>
      <c r="U244" s="55" t="n"/>
      <c r="V244" s="55" t="n"/>
      <c r="W244" s="55" t="n"/>
      <c r="X244" s="55" t="n"/>
      <c r="Y244" s="55" t="n"/>
    </row>
    <row r="245">
      <c r="S245" s="55" t="n"/>
      <c r="T245" s="55" t="n"/>
      <c r="U245" s="55" t="n"/>
      <c r="V245" s="55" t="n"/>
      <c r="W245" s="55" t="n"/>
      <c r="X245" s="55" t="n"/>
      <c r="Y245" s="55" t="n"/>
    </row>
    <row r="246">
      <c r="S246" s="55" t="n"/>
      <c r="T246" s="55" t="n"/>
      <c r="U246" s="55" t="n"/>
      <c r="V246" s="55" t="n"/>
      <c r="W246" s="55" t="n"/>
      <c r="X246" s="55" t="n"/>
      <c r="Y246" s="55" t="n"/>
    </row>
    <row r="247">
      <c r="S247" s="55" t="n"/>
      <c r="T247" s="55" t="n"/>
      <c r="U247" s="55" t="n"/>
      <c r="V247" s="55" t="n"/>
      <c r="W247" s="55" t="n"/>
      <c r="X247" s="55" t="n"/>
      <c r="Y247" s="55" t="n"/>
    </row>
    <row r="248">
      <c r="S248" s="55" t="n"/>
      <c r="T248" s="55" t="n"/>
      <c r="U248" s="55" t="n"/>
      <c r="V248" s="55" t="n"/>
      <c r="W248" s="55" t="n"/>
      <c r="X248" s="55" t="n"/>
      <c r="Y248" s="55" t="n"/>
    </row>
    <row r="249">
      <c r="S249" s="55" t="n"/>
      <c r="T249" s="55" t="n"/>
      <c r="U249" s="55" t="n"/>
      <c r="V249" s="55" t="n"/>
      <c r="W249" s="55" t="n"/>
      <c r="X249" s="55" t="n"/>
      <c r="Y249" s="55" t="n"/>
    </row>
    <row r="250">
      <c r="S250" s="55" t="n"/>
      <c r="T250" s="55" t="n"/>
      <c r="U250" s="55" t="n"/>
      <c r="V250" s="55" t="n"/>
      <c r="W250" s="55" t="n"/>
      <c r="X250" s="55" t="n"/>
      <c r="Y250" s="55" t="n"/>
    </row>
    <row r="251">
      <c r="S251" s="55" t="n"/>
      <c r="T251" s="55" t="n"/>
      <c r="U251" s="55" t="n"/>
      <c r="V251" s="55" t="n"/>
      <c r="W251" s="55" t="n"/>
      <c r="X251" s="55" t="n"/>
      <c r="Y251" s="55" t="n"/>
    </row>
    <row r="252">
      <c r="S252" s="55" t="n"/>
      <c r="T252" s="55" t="n"/>
      <c r="U252" s="55" t="n"/>
      <c r="V252" s="55" t="n"/>
      <c r="W252" s="55" t="n"/>
      <c r="X252" s="55" t="n"/>
      <c r="Y252" s="55" t="n"/>
    </row>
    <row r="253">
      <c r="S253" s="55" t="n"/>
      <c r="T253" s="55" t="n"/>
      <c r="U253" s="55" t="n"/>
      <c r="V253" s="55" t="n"/>
      <c r="W253" s="55" t="n"/>
      <c r="X253" s="55" t="n"/>
      <c r="Y253" s="55" t="n"/>
    </row>
    <row r="254">
      <c r="S254" s="55" t="n"/>
      <c r="T254" s="55" t="n"/>
      <c r="U254" s="55" t="n"/>
      <c r="V254" s="55" t="n"/>
      <c r="W254" s="55" t="n"/>
      <c r="X254" s="55" t="n"/>
      <c r="Y254" s="55" t="n"/>
    </row>
    <row r="255">
      <c r="S255" s="55" t="n"/>
      <c r="T255" s="55" t="n"/>
      <c r="U255" s="55" t="n"/>
      <c r="V255" s="55" t="n"/>
      <c r="W255" s="55" t="n"/>
      <c r="X255" s="55" t="n"/>
      <c r="Y255" s="55" t="n"/>
    </row>
    <row r="256">
      <c r="S256" s="55" t="n"/>
      <c r="T256" s="55" t="n"/>
      <c r="U256" s="55" t="n"/>
      <c r="V256" s="55" t="n"/>
      <c r="W256" s="55" t="n"/>
      <c r="X256" s="55" t="n"/>
      <c r="Y256" s="55" t="n"/>
    </row>
    <row r="257">
      <c r="S257" s="55" t="n"/>
      <c r="T257" s="55" t="n"/>
      <c r="U257" s="55" t="n"/>
      <c r="V257" s="55" t="n"/>
      <c r="W257" s="55" t="n"/>
      <c r="X257" s="55" t="n"/>
      <c r="Y257" s="55" t="n"/>
    </row>
    <row r="258">
      <c r="S258" s="55" t="n"/>
      <c r="T258" s="55" t="n"/>
      <c r="U258" s="55" t="n"/>
      <c r="V258" s="55" t="n"/>
      <c r="W258" s="55" t="n"/>
      <c r="X258" s="55" t="n"/>
      <c r="Y258" s="55" t="n"/>
    </row>
    <row r="259">
      <c r="S259" s="55" t="n"/>
      <c r="T259" s="55" t="n"/>
      <c r="U259" s="55" t="n"/>
      <c r="V259" s="55" t="n"/>
      <c r="W259" s="55" t="n"/>
      <c r="X259" s="55" t="n"/>
      <c r="Y259" s="55" t="n"/>
    </row>
    <row r="260">
      <c r="S260" s="55" t="n"/>
      <c r="T260" s="55" t="n"/>
      <c r="U260" s="55" t="n"/>
      <c r="V260" s="55" t="n"/>
      <c r="W260" s="55" t="n"/>
      <c r="X260" s="55" t="n"/>
      <c r="Y260" s="55" t="n"/>
    </row>
    <row r="261">
      <c r="S261" s="55" t="n"/>
      <c r="T261" s="55" t="n"/>
      <c r="U261" s="55" t="n"/>
      <c r="V261" s="55" t="n"/>
      <c r="W261" s="55" t="n"/>
      <c r="X261" s="55" t="n"/>
      <c r="Y261" s="55" t="n"/>
    </row>
    <row r="262">
      <c r="S262" s="55" t="n"/>
      <c r="T262" s="55" t="n"/>
      <c r="U262" s="55" t="n"/>
      <c r="V262" s="55" t="n"/>
      <c r="W262" s="55" t="n"/>
      <c r="X262" s="55" t="n"/>
      <c r="Y262" s="55" t="n"/>
    </row>
    <row r="263">
      <c r="S263" s="55" t="n"/>
      <c r="T263" s="55" t="n"/>
      <c r="U263" s="55" t="n"/>
      <c r="V263" s="55" t="n"/>
      <c r="W263" s="55" t="n"/>
      <c r="X263" s="55" t="n"/>
      <c r="Y263" s="55" t="n"/>
    </row>
    <row r="264">
      <c r="S264" s="55" t="n"/>
      <c r="T264" s="55" t="n"/>
      <c r="U264" s="55" t="n"/>
      <c r="V264" s="55" t="n"/>
      <c r="W264" s="55" t="n"/>
      <c r="X264" s="55" t="n"/>
      <c r="Y264" s="55" t="n"/>
    </row>
    <row r="265">
      <c r="S265" s="55" t="n"/>
      <c r="T265" s="55" t="n"/>
      <c r="U265" s="55" t="n"/>
      <c r="V265" s="55" t="n"/>
      <c r="W265" s="55" t="n"/>
      <c r="X265" s="55" t="n"/>
      <c r="Y265" s="55" t="n"/>
    </row>
    <row r="266">
      <c r="S266" s="55" t="n"/>
      <c r="T266" s="55" t="n"/>
      <c r="U266" s="55" t="n"/>
      <c r="V266" s="55" t="n"/>
      <c r="W266" s="55" t="n"/>
      <c r="X266" s="55" t="n"/>
      <c r="Y266" s="55" t="n"/>
    </row>
    <row r="267">
      <c r="S267" s="55" t="n"/>
      <c r="T267" s="55" t="n"/>
      <c r="U267" s="55" t="n"/>
      <c r="V267" s="55" t="n"/>
      <c r="W267" s="55" t="n"/>
      <c r="X267" s="55" t="n"/>
      <c r="Y267" s="55" t="n"/>
    </row>
    <row r="268">
      <c r="S268" s="55" t="n"/>
      <c r="T268" s="55" t="n"/>
      <c r="U268" s="55" t="n"/>
      <c r="V268" s="55" t="n"/>
      <c r="W268" s="55" t="n"/>
      <c r="X268" s="55" t="n"/>
      <c r="Y268" s="55" t="n"/>
    </row>
    <row r="269">
      <c r="S269" s="55" t="n"/>
      <c r="T269" s="55" t="n"/>
      <c r="U269" s="55" t="n"/>
      <c r="V269" s="55" t="n"/>
      <c r="W269" s="55" t="n"/>
      <c r="X269" s="55" t="n"/>
      <c r="Y269" s="55" t="n"/>
    </row>
    <row r="270">
      <c r="S270" s="55" t="n"/>
      <c r="T270" s="55" t="n"/>
      <c r="U270" s="55" t="n"/>
      <c r="V270" s="55" t="n"/>
      <c r="W270" s="55" t="n"/>
      <c r="X270" s="55" t="n"/>
      <c r="Y270" s="55" t="n"/>
    </row>
    <row r="271">
      <c r="S271" s="55" t="n"/>
      <c r="T271" s="55" t="n"/>
      <c r="U271" s="55" t="n"/>
      <c r="V271" s="55" t="n"/>
      <c r="W271" s="55" t="n"/>
      <c r="X271" s="55" t="n"/>
      <c r="Y271" s="55" t="n"/>
    </row>
    <row r="272">
      <c r="S272" s="55" t="n"/>
      <c r="T272" s="55" t="n"/>
      <c r="U272" s="55" t="n"/>
      <c r="V272" s="55" t="n"/>
      <c r="W272" s="55" t="n"/>
      <c r="X272" s="55" t="n"/>
      <c r="Y272" s="55" t="n"/>
    </row>
    <row r="273">
      <c r="S273" s="55" t="n"/>
      <c r="T273" s="55" t="n"/>
      <c r="U273" s="55" t="n"/>
      <c r="V273" s="55" t="n"/>
      <c r="W273" s="55" t="n"/>
      <c r="X273" s="55" t="n"/>
      <c r="Y273" s="55" t="n"/>
    </row>
    <row r="274">
      <c r="S274" s="55" t="n"/>
      <c r="T274" s="55" t="n"/>
      <c r="U274" s="55" t="n"/>
      <c r="V274" s="55" t="n"/>
      <c r="W274" s="55" t="n"/>
      <c r="X274" s="55" t="n"/>
      <c r="Y274" s="55" t="n"/>
    </row>
    <row r="275">
      <c r="S275" s="55" t="n"/>
      <c r="T275" s="55" t="n"/>
      <c r="U275" s="55" t="n"/>
      <c r="V275" s="55" t="n"/>
      <c r="W275" s="55" t="n"/>
      <c r="X275" s="55" t="n"/>
      <c r="Y275" s="55" t="n"/>
    </row>
    <row r="276">
      <c r="S276" s="55" t="n"/>
      <c r="T276" s="55" t="n"/>
      <c r="U276" s="55" t="n"/>
      <c r="V276" s="55" t="n"/>
      <c r="W276" s="55" t="n"/>
      <c r="X276" s="55" t="n"/>
      <c r="Y276" s="55" t="n"/>
    </row>
    <row r="277">
      <c r="S277" s="55" t="n"/>
      <c r="T277" s="55" t="n"/>
      <c r="U277" s="55" t="n"/>
      <c r="V277" s="55" t="n"/>
      <c r="W277" s="55" t="n"/>
      <c r="X277" s="55" t="n"/>
      <c r="Y277" s="55" t="n"/>
    </row>
    <row r="278">
      <c r="S278" s="55" t="n"/>
      <c r="T278" s="55" t="n"/>
      <c r="U278" s="55" t="n"/>
      <c r="V278" s="55" t="n"/>
      <c r="W278" s="55" t="n"/>
      <c r="X278" s="55" t="n"/>
      <c r="Y278" s="55" t="n"/>
    </row>
    <row r="279">
      <c r="S279" s="55" t="n"/>
      <c r="T279" s="55" t="n"/>
      <c r="U279" s="55" t="n"/>
      <c r="V279" s="55" t="n"/>
      <c r="W279" s="55" t="n"/>
      <c r="X279" s="55" t="n"/>
      <c r="Y279" s="55" t="n"/>
    </row>
    <row r="280">
      <c r="S280" s="55" t="n"/>
      <c r="T280" s="55" t="n"/>
      <c r="U280" s="55" t="n"/>
      <c r="V280" s="55" t="n"/>
      <c r="W280" s="55" t="n"/>
      <c r="X280" s="55" t="n"/>
      <c r="Y280" s="55" t="n"/>
    </row>
    <row r="281">
      <c r="S281" s="55" t="n"/>
      <c r="T281" s="55" t="n"/>
      <c r="U281" s="55" t="n"/>
      <c r="V281" s="55" t="n"/>
      <c r="W281" s="55" t="n"/>
      <c r="X281" s="55" t="n"/>
      <c r="Y281" s="55" t="n"/>
    </row>
    <row r="282">
      <c r="S282" s="55" t="n"/>
      <c r="T282" s="55" t="n"/>
      <c r="U282" s="55" t="n"/>
      <c r="V282" s="55" t="n"/>
      <c r="W282" s="55" t="n"/>
      <c r="X282" s="55" t="n"/>
      <c r="Y282" s="55" t="n"/>
    </row>
    <row r="283">
      <c r="S283" s="55" t="n"/>
      <c r="T283" s="55" t="n"/>
      <c r="U283" s="55" t="n"/>
      <c r="V283" s="55" t="n"/>
      <c r="W283" s="55" t="n"/>
      <c r="X283" s="55" t="n"/>
      <c r="Y283" s="55" t="n"/>
    </row>
    <row r="284">
      <c r="S284" s="55" t="n"/>
      <c r="T284" s="55" t="n"/>
      <c r="U284" s="55" t="n"/>
      <c r="V284" s="55" t="n"/>
      <c r="W284" s="55" t="n"/>
      <c r="X284" s="55" t="n"/>
      <c r="Y284" s="55" t="n"/>
    </row>
    <row r="285">
      <c r="S285" s="55" t="n"/>
      <c r="T285" s="55" t="n"/>
      <c r="U285" s="55" t="n"/>
      <c r="V285" s="55" t="n"/>
      <c r="W285" s="55" t="n"/>
      <c r="X285" s="55" t="n"/>
      <c r="Y285" s="55" t="n"/>
    </row>
    <row r="286">
      <c r="S286" s="55" t="n"/>
      <c r="T286" s="55" t="n"/>
      <c r="U286" s="55" t="n"/>
      <c r="V286" s="55" t="n"/>
      <c r="W286" s="55" t="n"/>
      <c r="X286" s="55" t="n"/>
      <c r="Y286" s="55" t="n"/>
    </row>
    <row r="287">
      <c r="S287" s="55" t="n"/>
      <c r="T287" s="55" t="n"/>
      <c r="U287" s="55" t="n"/>
      <c r="V287" s="55" t="n"/>
      <c r="W287" s="55" t="n"/>
      <c r="X287" s="55" t="n"/>
      <c r="Y287" s="55" t="n"/>
    </row>
    <row r="288">
      <c r="S288" s="55" t="n"/>
      <c r="T288" s="55" t="n"/>
      <c r="U288" s="55" t="n"/>
      <c r="V288" s="55" t="n"/>
      <c r="W288" s="55" t="n"/>
      <c r="X288" s="55" t="n"/>
      <c r="Y288" s="55" t="n"/>
    </row>
    <row r="289">
      <c r="S289" s="55" t="n"/>
      <c r="T289" s="55" t="n"/>
      <c r="U289" s="55" t="n"/>
      <c r="V289" s="55" t="n"/>
      <c r="W289" s="55" t="n"/>
      <c r="X289" s="55" t="n"/>
      <c r="Y289" s="55" t="n"/>
    </row>
    <row r="290">
      <c r="S290" s="55" t="n"/>
      <c r="T290" s="55" t="n"/>
      <c r="U290" s="55" t="n"/>
      <c r="V290" s="55" t="n"/>
      <c r="W290" s="55" t="n"/>
      <c r="X290" s="55" t="n"/>
      <c r="Y290" s="55" t="n"/>
    </row>
    <row r="291">
      <c r="S291" s="55" t="n"/>
      <c r="T291" s="55" t="n"/>
      <c r="U291" s="55" t="n"/>
      <c r="V291" s="55" t="n"/>
      <c r="W291" s="55" t="n"/>
      <c r="X291" s="55" t="n"/>
      <c r="Y291" s="55" t="n"/>
    </row>
    <row r="292">
      <c r="S292" s="55" t="n"/>
      <c r="T292" s="55" t="n"/>
      <c r="U292" s="55" t="n"/>
      <c r="V292" s="55" t="n"/>
      <c r="W292" s="55" t="n"/>
      <c r="X292" s="55" t="n"/>
      <c r="Y292" s="55" t="n"/>
    </row>
    <row r="293">
      <c r="S293" s="55" t="n"/>
      <c r="T293" s="55" t="n"/>
      <c r="U293" s="55" t="n"/>
      <c r="V293" s="55" t="n"/>
      <c r="W293" s="55" t="n"/>
      <c r="X293" s="55" t="n"/>
      <c r="Y293" s="55" t="n"/>
    </row>
    <row r="294">
      <c r="S294" s="55" t="n"/>
      <c r="T294" s="55" t="n"/>
      <c r="U294" s="55" t="n"/>
      <c r="V294" s="55" t="n"/>
      <c r="W294" s="55" t="n"/>
      <c r="X294" s="55" t="n"/>
      <c r="Y294" s="55" t="n"/>
    </row>
    <row r="295">
      <c r="S295" s="55" t="n"/>
      <c r="T295" s="55" t="n"/>
      <c r="U295" s="55" t="n"/>
      <c r="V295" s="55" t="n"/>
      <c r="W295" s="55" t="n"/>
      <c r="X295" s="55" t="n"/>
      <c r="Y295" s="55" t="n"/>
    </row>
    <row r="296">
      <c r="S296" s="55" t="n"/>
      <c r="T296" s="55" t="n"/>
      <c r="U296" s="55" t="n"/>
      <c r="V296" s="55" t="n"/>
      <c r="W296" s="55" t="n"/>
      <c r="X296" s="55" t="n"/>
      <c r="Y296" s="55" t="n"/>
    </row>
    <row r="297">
      <c r="S297" s="55" t="n"/>
      <c r="T297" s="55" t="n"/>
      <c r="U297" s="55" t="n"/>
      <c r="V297" s="55" t="n"/>
      <c r="W297" s="55" t="n"/>
      <c r="X297" s="55" t="n"/>
      <c r="Y297" s="55" t="n"/>
    </row>
    <row r="298">
      <c r="S298" s="55" t="n"/>
      <c r="T298" s="55" t="n"/>
      <c r="U298" s="55" t="n"/>
      <c r="V298" s="55" t="n"/>
      <c r="W298" s="55" t="n"/>
      <c r="X298" s="55" t="n"/>
      <c r="Y298" s="55" t="n"/>
    </row>
    <row r="299">
      <c r="S299" s="55" t="n"/>
      <c r="T299" s="55" t="n"/>
      <c r="U299" s="55" t="n"/>
      <c r="V299" s="55" t="n"/>
      <c r="W299" s="55" t="n"/>
      <c r="X299" s="55" t="n"/>
      <c r="Y299" s="55" t="n"/>
    </row>
    <row r="300">
      <c r="S300" s="55" t="n"/>
      <c r="T300" s="55" t="n"/>
      <c r="U300" s="55" t="n"/>
      <c r="V300" s="55" t="n"/>
      <c r="W300" s="55" t="n"/>
      <c r="X300" s="55" t="n"/>
      <c r="Y300" s="55" t="n"/>
    </row>
    <row r="301">
      <c r="S301" s="55" t="n"/>
      <c r="T301" s="55" t="n"/>
      <c r="U301" s="55" t="n"/>
      <c r="V301" s="55" t="n"/>
      <c r="W301" s="55" t="n"/>
      <c r="X301" s="55" t="n"/>
      <c r="Y301" s="55" t="n"/>
    </row>
    <row r="302">
      <c r="S302" s="55" t="n"/>
      <c r="T302" s="55" t="n"/>
      <c r="U302" s="55" t="n"/>
      <c r="V302" s="55" t="n"/>
      <c r="W302" s="55" t="n"/>
      <c r="X302" s="55" t="n"/>
      <c r="Y302" s="55" t="n"/>
    </row>
    <row r="303">
      <c r="S303" s="55" t="n"/>
      <c r="T303" s="55" t="n"/>
      <c r="U303" s="55" t="n"/>
      <c r="V303" s="55" t="n"/>
      <c r="W303" s="55" t="n"/>
      <c r="X303" s="55" t="n"/>
      <c r="Y303" s="55" t="n"/>
    </row>
    <row r="304">
      <c r="S304" s="55" t="n"/>
      <c r="T304" s="55" t="n"/>
      <c r="U304" s="55" t="n"/>
      <c r="V304" s="55" t="n"/>
      <c r="W304" s="55" t="n"/>
      <c r="X304" s="55" t="n"/>
      <c r="Y304" s="55" t="n"/>
    </row>
    <row r="305">
      <c r="S305" s="55" t="n"/>
      <c r="T305" s="55" t="n"/>
      <c r="U305" s="55" t="n"/>
      <c r="V305" s="55" t="n"/>
      <c r="W305" s="55" t="n"/>
      <c r="X305" s="55" t="n"/>
      <c r="Y305" s="55" t="n"/>
    </row>
    <row r="306">
      <c r="S306" s="55" t="n"/>
      <c r="T306" s="55" t="n"/>
      <c r="U306" s="55" t="n"/>
      <c r="V306" s="55" t="n"/>
      <c r="W306" s="55" t="n"/>
      <c r="X306" s="55" t="n"/>
      <c r="Y306" s="55" t="n"/>
    </row>
    <row r="307">
      <c r="S307" s="55" t="n"/>
      <c r="T307" s="55" t="n"/>
      <c r="U307" s="55" t="n"/>
      <c r="V307" s="55" t="n"/>
      <c r="W307" s="55" t="n"/>
      <c r="X307" s="55" t="n"/>
      <c r="Y307" s="55" t="n"/>
    </row>
    <row r="308">
      <c r="S308" s="55" t="n"/>
      <c r="T308" s="55" t="n"/>
      <c r="U308" s="55" t="n"/>
      <c r="V308" s="55" t="n"/>
      <c r="W308" s="55" t="n"/>
      <c r="X308" s="55" t="n"/>
      <c r="Y308" s="55" t="n"/>
    </row>
    <row r="309">
      <c r="S309" s="55" t="n"/>
      <c r="T309" s="55" t="n"/>
      <c r="U309" s="55" t="n"/>
      <c r="V309" s="55" t="n"/>
      <c r="W309" s="55" t="n"/>
      <c r="X309" s="55" t="n"/>
      <c r="Y309" s="55" t="n"/>
    </row>
    <row r="310">
      <c r="S310" s="55" t="n"/>
      <c r="T310" s="55" t="n"/>
      <c r="U310" s="55" t="n"/>
      <c r="V310" s="55" t="n"/>
      <c r="W310" s="55" t="n"/>
      <c r="X310" s="55" t="n"/>
      <c r="Y310" s="55" t="n"/>
    </row>
    <row r="311">
      <c r="S311" s="55" t="n"/>
      <c r="T311" s="55" t="n"/>
      <c r="U311" s="55" t="n"/>
      <c r="V311" s="55" t="n"/>
      <c r="W311" s="55" t="n"/>
      <c r="X311" s="55" t="n"/>
      <c r="Y311" s="55" t="n"/>
    </row>
    <row r="312">
      <c r="S312" s="55" t="n"/>
      <c r="T312" s="55" t="n"/>
      <c r="U312" s="55" t="n"/>
      <c r="V312" s="55" t="n"/>
      <c r="W312" s="55" t="n"/>
      <c r="X312" s="55" t="n"/>
      <c r="Y312" s="55" t="n"/>
    </row>
    <row r="313">
      <c r="S313" s="55" t="n"/>
      <c r="T313" s="55" t="n"/>
      <c r="U313" s="55" t="n"/>
      <c r="V313" s="55" t="n"/>
      <c r="W313" s="55" t="n"/>
      <c r="X313" s="55" t="n"/>
      <c r="Y313" s="55" t="n"/>
    </row>
    <row r="314">
      <c r="S314" s="55" t="n"/>
      <c r="T314" s="55" t="n"/>
      <c r="U314" s="55" t="n"/>
      <c r="V314" s="55" t="n"/>
      <c r="W314" s="55" t="n"/>
      <c r="X314" s="55" t="n"/>
      <c r="Y314" s="55" t="n"/>
    </row>
    <row r="315">
      <c r="S315" s="55" t="n"/>
      <c r="T315" s="55" t="n"/>
      <c r="U315" s="55" t="n"/>
      <c r="V315" s="55" t="n"/>
      <c r="W315" s="55" t="n"/>
      <c r="X315" s="55" t="n"/>
      <c r="Y315" s="55" t="n"/>
    </row>
    <row r="316">
      <c r="S316" s="55" t="n"/>
      <c r="T316" s="55" t="n"/>
      <c r="U316" s="55" t="n"/>
      <c r="V316" s="55" t="n"/>
      <c r="W316" s="55" t="n"/>
      <c r="X316" s="55" t="n"/>
      <c r="Y316" s="55" t="n"/>
    </row>
    <row r="317">
      <c r="S317" s="55" t="n"/>
      <c r="T317" s="55" t="n"/>
      <c r="U317" s="55" t="n"/>
      <c r="V317" s="55" t="n"/>
      <c r="W317" s="55" t="n"/>
      <c r="X317" s="55" t="n"/>
      <c r="Y317" s="55" t="n"/>
    </row>
    <row r="318">
      <c r="S318" s="55" t="n"/>
      <c r="T318" s="55" t="n"/>
      <c r="U318" s="55" t="n"/>
      <c r="V318" s="55" t="n"/>
      <c r="W318" s="55" t="n"/>
      <c r="X318" s="55" t="n"/>
      <c r="Y318" s="55" t="n"/>
    </row>
    <row r="319">
      <c r="S319" s="55" t="n"/>
      <c r="T319" s="55" t="n"/>
      <c r="U319" s="55" t="n"/>
      <c r="V319" s="55" t="n"/>
      <c r="W319" s="55" t="n"/>
      <c r="X319" s="55" t="n"/>
      <c r="Y319" s="55" t="n"/>
    </row>
    <row r="320">
      <c r="S320" s="55" t="n"/>
      <c r="T320" s="55" t="n"/>
      <c r="U320" s="55" t="n"/>
      <c r="V320" s="55" t="n"/>
      <c r="W320" s="55" t="n"/>
      <c r="X320" s="55" t="n"/>
      <c r="Y320" s="55" t="n"/>
    </row>
    <row r="321">
      <c r="S321" s="55" t="n"/>
      <c r="T321" s="55" t="n"/>
      <c r="U321" s="55" t="n"/>
      <c r="V321" s="55" t="n"/>
      <c r="W321" s="55" t="n"/>
      <c r="X321" s="55" t="n"/>
      <c r="Y321" s="55" t="n"/>
    </row>
    <row r="322">
      <c r="S322" s="55" t="n"/>
      <c r="T322" s="55" t="n"/>
      <c r="U322" s="55" t="n"/>
      <c r="V322" s="55" t="n"/>
      <c r="W322" s="55" t="n"/>
      <c r="X322" s="55" t="n"/>
      <c r="Y322" s="55" t="n"/>
    </row>
    <row r="323">
      <c r="S323" s="55" t="n"/>
      <c r="T323" s="55" t="n"/>
      <c r="U323" s="55" t="n"/>
      <c r="V323" s="55" t="n"/>
      <c r="W323" s="55" t="n"/>
      <c r="X323" s="55" t="n"/>
      <c r="Y323" s="55" t="n"/>
    </row>
    <row r="324">
      <c r="S324" s="55" t="n"/>
      <c r="T324" s="55" t="n"/>
      <c r="U324" s="55" t="n"/>
      <c r="V324" s="55" t="n"/>
      <c r="W324" s="55" t="n"/>
      <c r="X324" s="55" t="n"/>
      <c r="Y324" s="55" t="n"/>
    </row>
    <row r="325">
      <c r="S325" s="55" t="n"/>
      <c r="T325" s="55" t="n"/>
      <c r="U325" s="55" t="n"/>
      <c r="V325" s="55" t="n"/>
      <c r="W325" s="55" t="n"/>
      <c r="X325" s="55" t="n"/>
      <c r="Y325" s="55" t="n"/>
    </row>
    <row r="326">
      <c r="S326" s="55" t="n"/>
      <c r="T326" s="55" t="n"/>
      <c r="U326" s="55" t="n"/>
      <c r="V326" s="55" t="n"/>
      <c r="W326" s="55" t="n"/>
      <c r="X326" s="55" t="n"/>
      <c r="Y326" s="55" t="n"/>
    </row>
    <row r="327">
      <c r="S327" s="55" t="n"/>
      <c r="T327" s="55" t="n"/>
      <c r="U327" s="55" t="n"/>
      <c r="V327" s="55" t="n"/>
      <c r="W327" s="55" t="n"/>
      <c r="X327" s="55" t="n"/>
      <c r="Y327" s="55" t="n"/>
    </row>
    <row r="328">
      <c r="S328" s="55" t="n"/>
      <c r="T328" s="55" t="n"/>
      <c r="U328" s="55" t="n"/>
      <c r="V328" s="55" t="n"/>
      <c r="W328" s="55" t="n"/>
      <c r="X328" s="55" t="n"/>
      <c r="Y328" s="55" t="n"/>
    </row>
    <row r="329">
      <c r="S329" s="55" t="n"/>
      <c r="T329" s="55" t="n"/>
      <c r="U329" s="55" t="n"/>
      <c r="V329" s="55" t="n"/>
      <c r="W329" s="55" t="n"/>
      <c r="X329" s="55" t="n"/>
      <c r="Y329" s="55" t="n"/>
    </row>
    <row r="330">
      <c r="S330" s="55" t="n"/>
      <c r="T330" s="55" t="n"/>
      <c r="U330" s="55" t="n"/>
      <c r="V330" s="55" t="n"/>
      <c r="W330" s="55" t="n"/>
      <c r="X330" s="55" t="n"/>
      <c r="Y330" s="55" t="n"/>
    </row>
    <row r="331">
      <c r="S331" s="55" t="n"/>
      <c r="T331" s="55" t="n"/>
      <c r="U331" s="55" t="n"/>
      <c r="V331" s="55" t="n"/>
      <c r="W331" s="55" t="n"/>
      <c r="X331" s="55" t="n"/>
      <c r="Y331" s="55" t="n"/>
    </row>
    <row r="332">
      <c r="S332" s="55" t="n"/>
      <c r="T332" s="55" t="n"/>
      <c r="U332" s="55" t="n"/>
      <c r="V332" s="55" t="n"/>
      <c r="W332" s="55" t="n"/>
      <c r="X332" s="55" t="n"/>
      <c r="Y332" s="55" t="n"/>
    </row>
    <row r="333">
      <c r="S333" s="55" t="n"/>
      <c r="T333" s="55" t="n"/>
      <c r="U333" s="55" t="n"/>
      <c r="V333" s="55" t="n"/>
      <c r="W333" s="55" t="n"/>
      <c r="X333" s="55" t="n"/>
      <c r="Y333" s="55" t="n"/>
    </row>
    <row r="334">
      <c r="S334" s="55" t="n"/>
      <c r="T334" s="55" t="n"/>
      <c r="U334" s="55" t="n"/>
      <c r="V334" s="55" t="n"/>
      <c r="W334" s="55" t="n"/>
      <c r="X334" s="55" t="n"/>
      <c r="Y334" s="55" t="n"/>
    </row>
    <row r="335">
      <c r="S335" s="55" t="n"/>
      <c r="T335" s="55" t="n"/>
      <c r="U335" s="55" t="n"/>
      <c r="V335" s="55" t="n"/>
      <c r="W335" s="55" t="n"/>
      <c r="X335" s="55" t="n"/>
      <c r="Y335" s="55" t="n"/>
    </row>
    <row r="336">
      <c r="S336" s="55" t="n"/>
      <c r="T336" s="55" t="n"/>
      <c r="U336" s="55" t="n"/>
      <c r="V336" s="55" t="n"/>
      <c r="W336" s="55" t="n"/>
      <c r="X336" s="55" t="n"/>
      <c r="Y336" s="55" t="n"/>
    </row>
    <row r="337">
      <c r="S337" s="55" t="n"/>
      <c r="T337" s="55" t="n"/>
      <c r="U337" s="55" t="n"/>
      <c r="V337" s="55" t="n"/>
      <c r="W337" s="55" t="n"/>
      <c r="X337" s="55" t="n"/>
      <c r="Y337" s="55" t="n"/>
    </row>
    <row r="338">
      <c r="S338" s="55" t="n"/>
      <c r="T338" s="55" t="n"/>
      <c r="U338" s="55" t="n"/>
      <c r="V338" s="55" t="n"/>
      <c r="W338" s="55" t="n"/>
      <c r="X338" s="55" t="n"/>
      <c r="Y338" s="55" t="n"/>
    </row>
    <row r="339">
      <c r="S339" s="55" t="n"/>
      <c r="T339" s="55" t="n"/>
      <c r="U339" s="55" t="n"/>
      <c r="V339" s="55" t="n"/>
      <c r="W339" s="55" t="n"/>
      <c r="X339" s="55" t="n"/>
      <c r="Y339" s="55" t="n"/>
    </row>
    <row r="340">
      <c r="S340" s="55" t="n"/>
      <c r="T340" s="55" t="n"/>
      <c r="U340" s="55" t="n"/>
      <c r="V340" s="55" t="n"/>
      <c r="W340" s="55" t="n"/>
      <c r="X340" s="55" t="n"/>
      <c r="Y340" s="55" t="n"/>
    </row>
    <row r="341">
      <c r="S341" s="55" t="n"/>
      <c r="T341" s="55" t="n"/>
      <c r="U341" s="55" t="n"/>
      <c r="V341" s="55" t="n"/>
      <c r="W341" s="55" t="n"/>
      <c r="X341" s="55" t="n"/>
      <c r="Y341" s="55" t="n"/>
    </row>
    <row r="342">
      <c r="S342" s="55" t="n"/>
      <c r="T342" s="55" t="n"/>
      <c r="U342" s="55" t="n"/>
      <c r="V342" s="55" t="n"/>
      <c r="W342" s="55" t="n"/>
      <c r="X342" s="55" t="n"/>
      <c r="Y342" s="55" t="n"/>
    </row>
    <row r="343">
      <c r="S343" s="55" t="n"/>
      <c r="T343" s="55" t="n"/>
      <c r="U343" s="55" t="n"/>
      <c r="V343" s="55" t="n"/>
      <c r="W343" s="55" t="n"/>
      <c r="X343" s="55" t="n"/>
      <c r="Y343" s="55" t="n"/>
    </row>
    <row r="344">
      <c r="S344" s="55" t="n"/>
      <c r="T344" s="55" t="n"/>
      <c r="U344" s="55" t="n"/>
      <c r="V344" s="55" t="n"/>
      <c r="W344" s="55" t="n"/>
      <c r="X344" s="55" t="n"/>
      <c r="Y344" s="55" t="n"/>
    </row>
    <row r="345">
      <c r="S345" s="55" t="n"/>
      <c r="T345" s="55" t="n"/>
      <c r="U345" s="55" t="n"/>
      <c r="V345" s="55" t="n"/>
      <c r="W345" s="55" t="n"/>
      <c r="X345" s="55" t="n"/>
      <c r="Y345" s="55" t="n"/>
    </row>
    <row r="346">
      <c r="S346" s="55" t="n"/>
      <c r="T346" s="55" t="n"/>
      <c r="U346" s="55" t="n"/>
      <c r="V346" s="55" t="n"/>
      <c r="W346" s="55" t="n"/>
      <c r="X346" s="55" t="n"/>
      <c r="Y346" s="55" t="n"/>
    </row>
    <row r="347">
      <c r="S347" s="55" t="n"/>
      <c r="T347" s="55" t="n"/>
      <c r="U347" s="55" t="n"/>
      <c r="V347" s="55" t="n"/>
      <c r="W347" s="55" t="n"/>
      <c r="X347" s="55" t="n"/>
      <c r="Y347" s="55" t="n"/>
    </row>
    <row r="348">
      <c r="S348" s="55" t="n"/>
      <c r="T348" s="55" t="n"/>
      <c r="U348" s="55" t="n"/>
      <c r="V348" s="55" t="n"/>
      <c r="W348" s="55" t="n"/>
      <c r="X348" s="55" t="n"/>
      <c r="Y348" s="55" t="n"/>
    </row>
    <row r="349">
      <c r="S349" s="55" t="n"/>
      <c r="T349" s="55" t="n"/>
      <c r="U349" s="55" t="n"/>
      <c r="V349" s="55" t="n"/>
      <c r="W349" s="55" t="n"/>
      <c r="X349" s="55" t="n"/>
      <c r="Y349" s="55" t="n"/>
    </row>
    <row r="350">
      <c r="S350" s="55" t="n"/>
      <c r="T350" s="55" t="n"/>
      <c r="U350" s="55" t="n"/>
      <c r="V350" s="55" t="n"/>
      <c r="W350" s="55" t="n"/>
      <c r="X350" s="55" t="n"/>
      <c r="Y350" s="55" t="n"/>
    </row>
    <row r="351">
      <c r="S351" s="55" t="n"/>
      <c r="T351" s="55" t="n"/>
      <c r="U351" s="55" t="n"/>
      <c r="V351" s="55" t="n"/>
      <c r="W351" s="55" t="n"/>
      <c r="X351" s="55" t="n"/>
      <c r="Y351" s="55" t="n"/>
    </row>
    <row r="352">
      <c r="S352" s="55" t="n"/>
      <c r="T352" s="55" t="n"/>
      <c r="U352" s="55" t="n"/>
      <c r="V352" s="55" t="n"/>
      <c r="W352" s="55" t="n"/>
      <c r="X352" s="55" t="n"/>
      <c r="Y352" s="55" t="n"/>
    </row>
    <row r="353">
      <c r="S353" s="55" t="n"/>
      <c r="T353" s="55" t="n"/>
      <c r="U353" s="55" t="n"/>
      <c r="V353" s="55" t="n"/>
      <c r="W353" s="55" t="n"/>
      <c r="X353" s="55" t="n"/>
      <c r="Y353" s="55" t="n"/>
    </row>
    <row r="354">
      <c r="S354" s="55" t="n"/>
      <c r="T354" s="55" t="n"/>
      <c r="U354" s="55" t="n"/>
      <c r="V354" s="55" t="n"/>
      <c r="W354" s="55" t="n"/>
      <c r="X354" s="55" t="n"/>
      <c r="Y354" s="55" t="n"/>
    </row>
    <row r="355">
      <c r="S355" s="55" t="n"/>
      <c r="T355" s="55" t="n"/>
      <c r="U355" s="55" t="n"/>
      <c r="V355" s="55" t="n"/>
      <c r="W355" s="55" t="n"/>
      <c r="X355" s="55" t="n"/>
      <c r="Y355" s="55" t="n"/>
    </row>
    <row r="356">
      <c r="S356" s="55" t="n"/>
      <c r="T356" s="55" t="n"/>
      <c r="U356" s="55" t="n"/>
      <c r="V356" s="55" t="n"/>
      <c r="W356" s="55" t="n"/>
      <c r="X356" s="55" t="n"/>
      <c r="Y356" s="55" t="n"/>
    </row>
    <row r="357">
      <c r="S357" s="55" t="n"/>
      <c r="T357" s="55" t="n"/>
      <c r="U357" s="55" t="n"/>
      <c r="V357" s="55" t="n"/>
      <c r="W357" s="55" t="n"/>
      <c r="X357" s="55" t="n"/>
      <c r="Y357" s="55" t="n"/>
    </row>
    <row r="358">
      <c r="S358" s="55" t="n"/>
      <c r="T358" s="55" t="n"/>
      <c r="U358" s="55" t="n"/>
      <c r="V358" s="55" t="n"/>
      <c r="W358" s="55" t="n"/>
      <c r="X358" s="55" t="n"/>
      <c r="Y358" s="55" t="n"/>
    </row>
    <row r="359">
      <c r="S359" s="55" t="n"/>
      <c r="T359" s="55" t="n"/>
      <c r="U359" s="55" t="n"/>
      <c r="V359" s="55" t="n"/>
      <c r="W359" s="55" t="n"/>
      <c r="X359" s="55" t="n"/>
      <c r="Y359" s="55" t="n"/>
    </row>
    <row r="360">
      <c r="S360" s="55" t="n"/>
      <c r="T360" s="55" t="n"/>
      <c r="U360" s="55" t="n"/>
      <c r="V360" s="55" t="n"/>
      <c r="W360" s="55" t="n"/>
      <c r="X360" s="55" t="n"/>
      <c r="Y360" s="55" t="n"/>
    </row>
    <row r="361">
      <c r="S361" s="55" t="n"/>
      <c r="T361" s="55" t="n"/>
      <c r="U361" s="55" t="n"/>
      <c r="V361" s="55" t="n"/>
      <c r="W361" s="55" t="n"/>
      <c r="X361" s="55" t="n"/>
      <c r="Y361" s="55" t="n"/>
    </row>
    <row r="362">
      <c r="S362" s="55" t="n"/>
      <c r="T362" s="55" t="n"/>
      <c r="U362" s="55" t="n"/>
      <c r="V362" s="55" t="n"/>
      <c r="W362" s="55" t="n"/>
      <c r="X362" s="55" t="n"/>
      <c r="Y362" s="55" t="n"/>
    </row>
    <row r="363">
      <c r="S363" s="55" t="n"/>
      <c r="T363" s="55" t="n"/>
      <c r="U363" s="55" t="n"/>
      <c r="V363" s="55" t="n"/>
      <c r="W363" s="55" t="n"/>
      <c r="X363" s="55" t="n"/>
      <c r="Y363" s="55" t="n"/>
    </row>
    <row r="364">
      <c r="S364" s="55" t="n"/>
      <c r="T364" s="55" t="n"/>
      <c r="U364" s="55" t="n"/>
      <c r="V364" s="55" t="n"/>
      <c r="W364" s="55" t="n"/>
      <c r="X364" s="55" t="n"/>
      <c r="Y364" s="55" t="n"/>
    </row>
    <row r="365">
      <c r="S365" s="55" t="n"/>
      <c r="T365" s="55" t="n"/>
      <c r="U365" s="55" t="n"/>
      <c r="V365" s="55" t="n"/>
      <c r="W365" s="55" t="n"/>
      <c r="X365" s="55" t="n"/>
      <c r="Y365" s="55" t="n"/>
    </row>
    <row r="366">
      <c r="S366" s="55" t="n"/>
      <c r="T366" s="55" t="n"/>
      <c r="U366" s="55" t="n"/>
      <c r="V366" s="55" t="n"/>
      <c r="W366" s="55" t="n"/>
      <c r="X366" s="55" t="n"/>
      <c r="Y366" s="55" t="n"/>
    </row>
    <row r="367">
      <c r="S367" s="55" t="n"/>
      <c r="T367" s="55" t="n"/>
      <c r="U367" s="55" t="n"/>
      <c r="V367" s="55" t="n"/>
      <c r="W367" s="55" t="n"/>
      <c r="X367" s="55" t="n"/>
      <c r="Y367" s="55" t="n"/>
    </row>
    <row r="368">
      <c r="S368" s="55" t="n"/>
      <c r="T368" s="55" t="n"/>
      <c r="U368" s="55" t="n"/>
      <c r="V368" s="55" t="n"/>
      <c r="W368" s="55" t="n"/>
      <c r="X368" s="55" t="n"/>
      <c r="Y368" s="55" t="n"/>
    </row>
    <row r="369">
      <c r="S369" s="55" t="n"/>
      <c r="T369" s="55" t="n"/>
      <c r="U369" s="55" t="n"/>
      <c r="V369" s="55" t="n"/>
      <c r="W369" s="55" t="n"/>
      <c r="X369" s="55" t="n"/>
      <c r="Y369" s="55" t="n"/>
    </row>
    <row r="370">
      <c r="S370" s="55" t="n"/>
      <c r="T370" s="55" t="n"/>
      <c r="U370" s="55" t="n"/>
      <c r="V370" s="55" t="n"/>
      <c r="W370" s="55" t="n"/>
      <c r="X370" s="55" t="n"/>
      <c r="Y370" s="55" t="n"/>
    </row>
    <row r="371">
      <c r="S371" s="55" t="n"/>
      <c r="T371" s="55" t="n"/>
      <c r="U371" s="55" t="n"/>
      <c r="V371" s="55" t="n"/>
      <c r="W371" s="55" t="n"/>
      <c r="X371" s="55" t="n"/>
      <c r="Y371" s="55" t="n"/>
    </row>
    <row r="372">
      <c r="S372" s="55" t="n"/>
      <c r="T372" s="55" t="n"/>
      <c r="U372" s="55" t="n"/>
      <c r="V372" s="55" t="n"/>
      <c r="W372" s="55" t="n"/>
      <c r="X372" s="55" t="n"/>
      <c r="Y372" s="55" t="n"/>
    </row>
    <row r="373">
      <c r="S373" s="55" t="n"/>
      <c r="T373" s="55" t="n"/>
      <c r="U373" s="55" t="n"/>
      <c r="V373" s="55" t="n"/>
      <c r="W373" s="55" t="n"/>
      <c r="X373" s="55" t="n"/>
      <c r="Y373" s="55" t="n"/>
    </row>
    <row r="374">
      <c r="S374" s="55" t="n"/>
      <c r="T374" s="55" t="n"/>
      <c r="U374" s="55" t="n"/>
      <c r="V374" s="55" t="n"/>
      <c r="W374" s="55" t="n"/>
      <c r="X374" s="55" t="n"/>
      <c r="Y374" s="55" t="n"/>
    </row>
    <row r="375">
      <c r="S375" s="55" t="n"/>
      <c r="T375" s="55" t="n"/>
      <c r="U375" s="55" t="n"/>
      <c r="V375" s="55" t="n"/>
      <c r="W375" s="55" t="n"/>
      <c r="X375" s="55" t="n"/>
      <c r="Y375" s="55" t="n"/>
    </row>
    <row r="376">
      <c r="S376" s="55" t="n"/>
      <c r="T376" s="55" t="n"/>
      <c r="U376" s="55" t="n"/>
      <c r="V376" s="55" t="n"/>
      <c r="W376" s="55" t="n"/>
      <c r="X376" s="55" t="n"/>
      <c r="Y376" s="55" t="n"/>
    </row>
    <row r="377">
      <c r="S377" s="55" t="n"/>
      <c r="T377" s="55" t="n"/>
      <c r="U377" s="55" t="n"/>
      <c r="V377" s="55" t="n"/>
      <c r="W377" s="55" t="n"/>
      <c r="X377" s="55" t="n"/>
      <c r="Y377" s="55" t="n"/>
    </row>
    <row r="378">
      <c r="S378" s="55" t="n"/>
      <c r="T378" s="55" t="n"/>
      <c r="U378" s="55" t="n"/>
      <c r="V378" s="55" t="n"/>
      <c r="W378" s="55" t="n"/>
      <c r="X378" s="55" t="n"/>
      <c r="Y378" s="55" t="n"/>
    </row>
    <row r="379">
      <c r="S379" s="55" t="n"/>
      <c r="T379" s="55" t="n"/>
      <c r="U379" s="55" t="n"/>
      <c r="V379" s="55" t="n"/>
      <c r="W379" s="55" t="n"/>
      <c r="X379" s="55" t="n"/>
      <c r="Y379" s="55" t="n"/>
    </row>
    <row r="380">
      <c r="S380" s="55" t="n"/>
      <c r="T380" s="55" t="n"/>
      <c r="U380" s="55" t="n"/>
      <c r="V380" s="55" t="n"/>
      <c r="W380" s="55" t="n"/>
      <c r="X380" s="55" t="n"/>
      <c r="Y380" s="55" t="n"/>
    </row>
    <row r="381">
      <c r="S381" s="55" t="n"/>
      <c r="T381" s="55" t="n"/>
      <c r="U381" s="55" t="n"/>
      <c r="V381" s="55" t="n"/>
      <c r="W381" s="55" t="n"/>
      <c r="X381" s="55" t="n"/>
      <c r="Y381" s="55" t="n"/>
    </row>
    <row r="382">
      <c r="S382" s="55" t="n"/>
      <c r="T382" s="55" t="n"/>
      <c r="U382" s="55" t="n"/>
      <c r="V382" s="55" t="n"/>
      <c r="W382" s="55" t="n"/>
      <c r="X382" s="55" t="n"/>
      <c r="Y382" s="55" t="n"/>
    </row>
    <row r="383">
      <c r="S383" s="55" t="n"/>
      <c r="T383" s="55" t="n"/>
      <c r="U383" s="55" t="n"/>
      <c r="V383" s="55" t="n"/>
      <c r="W383" s="55" t="n"/>
      <c r="X383" s="55" t="n"/>
      <c r="Y383" s="55" t="n"/>
    </row>
    <row r="384">
      <c r="S384" s="55" t="n"/>
      <c r="T384" s="55" t="n"/>
      <c r="U384" s="55" t="n"/>
      <c r="V384" s="55" t="n"/>
      <c r="W384" s="55" t="n"/>
      <c r="X384" s="55" t="n"/>
      <c r="Y384" s="55" t="n"/>
    </row>
    <row r="385">
      <c r="S385" s="55" t="n"/>
      <c r="T385" s="55" t="n"/>
      <c r="U385" s="55" t="n"/>
      <c r="V385" s="55" t="n"/>
      <c r="W385" s="55" t="n"/>
      <c r="X385" s="55" t="n"/>
      <c r="Y385" s="55" t="n"/>
    </row>
    <row r="386">
      <c r="S386" s="55" t="n"/>
      <c r="T386" s="55" t="n"/>
      <c r="U386" s="55" t="n"/>
      <c r="V386" s="55" t="n"/>
      <c r="W386" s="55" t="n"/>
      <c r="X386" s="55" t="n"/>
      <c r="Y386" s="55" t="n"/>
    </row>
    <row r="387">
      <c r="S387" s="55" t="n"/>
      <c r="T387" s="55" t="n"/>
      <c r="U387" s="55" t="n"/>
      <c r="V387" s="55" t="n"/>
      <c r="W387" s="55" t="n"/>
      <c r="X387" s="55" t="n"/>
      <c r="Y387" s="55" t="n"/>
    </row>
    <row r="388">
      <c r="S388" s="55" t="n"/>
      <c r="T388" s="55" t="n"/>
      <c r="U388" s="55" t="n"/>
      <c r="V388" s="55" t="n"/>
      <c r="W388" s="55" t="n"/>
      <c r="X388" s="55" t="n"/>
      <c r="Y388" s="55" t="n"/>
    </row>
    <row r="389">
      <c r="S389" s="55" t="n"/>
      <c r="T389" s="55" t="n"/>
      <c r="U389" s="55" t="n"/>
      <c r="V389" s="55" t="n"/>
      <c r="W389" s="55" t="n"/>
      <c r="X389" s="55" t="n"/>
      <c r="Y389" s="55" t="n"/>
    </row>
    <row r="390">
      <c r="S390" s="55" t="n"/>
      <c r="T390" s="55" t="n"/>
      <c r="U390" s="55" t="n"/>
      <c r="V390" s="55" t="n"/>
      <c r="W390" s="55" t="n"/>
      <c r="X390" s="55" t="n"/>
      <c r="Y390" s="55" t="n"/>
    </row>
    <row r="391">
      <c r="S391" s="55" t="n"/>
      <c r="T391" s="55" t="n"/>
      <c r="U391" s="55" t="n"/>
      <c r="V391" s="55" t="n"/>
      <c r="W391" s="55" t="n"/>
      <c r="X391" s="55" t="n"/>
      <c r="Y391" s="55" t="n"/>
    </row>
    <row r="392">
      <c r="S392" s="55" t="n"/>
      <c r="T392" s="55" t="n"/>
      <c r="U392" s="55" t="n"/>
      <c r="V392" s="55" t="n"/>
      <c r="W392" s="55" t="n"/>
      <c r="X392" s="55" t="n"/>
      <c r="Y392" s="55" t="n"/>
    </row>
    <row r="393">
      <c r="S393" s="55" t="n"/>
      <c r="T393" s="55" t="n"/>
      <c r="U393" s="55" t="n"/>
      <c r="V393" s="55" t="n"/>
      <c r="W393" s="55" t="n"/>
      <c r="X393" s="55" t="n"/>
      <c r="Y393" s="55" t="n"/>
    </row>
    <row r="394">
      <c r="S394" s="55" t="n"/>
      <c r="T394" s="55" t="n"/>
      <c r="U394" s="55" t="n"/>
      <c r="V394" s="55" t="n"/>
      <c r="W394" s="55" t="n"/>
      <c r="X394" s="55" t="n"/>
      <c r="Y394" s="55" t="n"/>
    </row>
    <row r="395">
      <c r="S395" s="55" t="n"/>
      <c r="T395" s="55" t="n"/>
      <c r="U395" s="55" t="n"/>
      <c r="V395" s="55" t="n"/>
      <c r="W395" s="55" t="n"/>
      <c r="X395" s="55" t="n"/>
      <c r="Y395" s="55" t="n"/>
    </row>
    <row r="396">
      <c r="S396" s="55" t="n"/>
      <c r="T396" s="55" t="n"/>
      <c r="U396" s="55" t="n"/>
      <c r="V396" s="55" t="n"/>
      <c r="W396" s="55" t="n"/>
      <c r="X396" s="55" t="n"/>
      <c r="Y396" s="55" t="n"/>
    </row>
    <row r="397">
      <c r="S397" s="55" t="n"/>
      <c r="T397" s="55" t="n"/>
      <c r="U397" s="55" t="n"/>
      <c r="V397" s="55" t="n"/>
      <c r="W397" s="55" t="n"/>
      <c r="X397" s="55" t="n"/>
      <c r="Y397" s="55" t="n"/>
    </row>
    <row r="398">
      <c r="S398" s="55" t="n"/>
      <c r="T398" s="55" t="n"/>
      <c r="U398" s="55" t="n"/>
      <c r="V398" s="55" t="n"/>
      <c r="W398" s="55" t="n"/>
      <c r="X398" s="55" t="n"/>
      <c r="Y398" s="55" t="n"/>
    </row>
    <row r="399">
      <c r="S399" s="55" t="n"/>
      <c r="T399" s="55" t="n"/>
      <c r="U399" s="55" t="n"/>
      <c r="V399" s="55" t="n"/>
      <c r="W399" s="55" t="n"/>
      <c r="X399" s="55" t="n"/>
      <c r="Y399" s="55" t="n"/>
    </row>
    <row r="400">
      <c r="S400" s="55" t="n"/>
      <c r="T400" s="55" t="n"/>
      <c r="U400" s="55" t="n"/>
      <c r="V400" s="55" t="n"/>
      <c r="W400" s="55" t="n"/>
      <c r="X400" s="55" t="n"/>
      <c r="Y400" s="55" t="n"/>
    </row>
    <row r="401">
      <c r="S401" s="55" t="n"/>
      <c r="T401" s="55" t="n"/>
      <c r="U401" s="55" t="n"/>
      <c r="V401" s="55" t="n"/>
      <c r="W401" s="55" t="n"/>
      <c r="X401" s="55" t="n"/>
      <c r="Y401" s="55" t="n"/>
    </row>
    <row r="402">
      <c r="S402" s="55" t="n"/>
      <c r="T402" s="55" t="n"/>
      <c r="U402" s="55" t="n"/>
      <c r="V402" s="55" t="n"/>
      <c r="W402" s="55" t="n"/>
      <c r="X402" s="55" t="n"/>
      <c r="Y402" s="55" t="n"/>
    </row>
    <row r="403">
      <c r="S403" s="55" t="n"/>
      <c r="T403" s="55" t="n"/>
      <c r="U403" s="55" t="n"/>
      <c r="V403" s="55" t="n"/>
      <c r="W403" s="55" t="n"/>
      <c r="X403" s="55" t="n"/>
      <c r="Y403" s="55" t="n"/>
    </row>
    <row r="404">
      <c r="S404" s="55" t="n"/>
      <c r="T404" s="55" t="n"/>
      <c r="U404" s="55" t="n"/>
      <c r="V404" s="55" t="n"/>
      <c r="W404" s="55" t="n"/>
      <c r="X404" s="55" t="n"/>
      <c r="Y404" s="55" t="n"/>
    </row>
    <row r="405">
      <c r="S405" s="55" t="n"/>
      <c r="T405" s="55" t="n"/>
      <c r="U405" s="55" t="n"/>
      <c r="V405" s="55" t="n"/>
      <c r="W405" s="55" t="n"/>
      <c r="X405" s="55" t="n"/>
      <c r="Y405" s="55" t="n"/>
    </row>
    <row r="406">
      <c r="S406" s="55" t="n"/>
      <c r="T406" s="55" t="n"/>
      <c r="U406" s="55" t="n"/>
      <c r="V406" s="55" t="n"/>
      <c r="W406" s="55" t="n"/>
      <c r="X406" s="55" t="n"/>
      <c r="Y406" s="55" t="n"/>
    </row>
    <row r="407">
      <c r="S407" s="55" t="n"/>
      <c r="T407" s="55" t="n"/>
      <c r="U407" s="55" t="n"/>
      <c r="V407" s="55" t="n"/>
      <c r="W407" s="55" t="n"/>
      <c r="X407" s="55" t="n"/>
      <c r="Y407" s="55" t="n"/>
    </row>
    <row r="408">
      <c r="S408" s="55" t="n"/>
      <c r="T408" s="55" t="n"/>
      <c r="U408" s="55" t="n"/>
      <c r="V408" s="55" t="n"/>
      <c r="W408" s="55" t="n"/>
      <c r="X408" s="55" t="n"/>
      <c r="Y408" s="55" t="n"/>
    </row>
    <row r="409">
      <c r="S409" s="55" t="n"/>
      <c r="T409" s="55" t="n"/>
      <c r="U409" s="55" t="n"/>
      <c r="V409" s="55" t="n"/>
      <c r="W409" s="55" t="n"/>
      <c r="X409" s="55" t="n"/>
      <c r="Y409" s="55" t="n"/>
    </row>
    <row r="410">
      <c r="S410" s="55" t="n"/>
      <c r="T410" s="55" t="n"/>
      <c r="U410" s="55" t="n"/>
      <c r="V410" s="55" t="n"/>
      <c r="W410" s="55" t="n"/>
      <c r="X410" s="55" t="n"/>
      <c r="Y410" s="55" t="n"/>
    </row>
    <row r="411">
      <c r="S411" s="55" t="n"/>
      <c r="T411" s="55" t="n"/>
      <c r="U411" s="55" t="n"/>
      <c r="V411" s="55" t="n"/>
      <c r="W411" s="55" t="n"/>
      <c r="X411" s="55" t="n"/>
      <c r="Y411" s="55" t="n"/>
    </row>
    <row r="412">
      <c r="S412" s="55" t="n"/>
      <c r="T412" s="55" t="n"/>
      <c r="U412" s="55" t="n"/>
      <c r="V412" s="55" t="n"/>
      <c r="W412" s="55" t="n"/>
      <c r="X412" s="55" t="n"/>
      <c r="Y412" s="55" t="n"/>
    </row>
    <row r="413">
      <c r="S413" s="55" t="n"/>
      <c r="T413" s="55" t="n"/>
      <c r="U413" s="55" t="n"/>
      <c r="V413" s="55" t="n"/>
      <c r="W413" s="55" t="n"/>
      <c r="X413" s="55" t="n"/>
      <c r="Y413" s="55" t="n"/>
    </row>
    <row r="414">
      <c r="S414" s="55" t="n"/>
      <c r="T414" s="55" t="n"/>
      <c r="U414" s="55" t="n"/>
      <c r="V414" s="55" t="n"/>
      <c r="W414" s="55" t="n"/>
      <c r="X414" s="55" t="n"/>
      <c r="Y414" s="55" t="n"/>
    </row>
    <row r="415">
      <c r="S415" s="55" t="n"/>
      <c r="T415" s="55" t="n"/>
      <c r="U415" s="55" t="n"/>
      <c r="V415" s="55" t="n"/>
      <c r="W415" s="55" t="n"/>
      <c r="X415" s="55" t="n"/>
      <c r="Y415" s="55" t="n"/>
    </row>
    <row r="416">
      <c r="S416" s="55" t="n"/>
      <c r="T416" s="55" t="n"/>
      <c r="U416" s="55" t="n"/>
      <c r="V416" s="55" t="n"/>
      <c r="W416" s="55" t="n"/>
      <c r="X416" s="55" t="n"/>
      <c r="Y416" s="55" t="n"/>
    </row>
    <row r="417">
      <c r="S417" s="55" t="n"/>
      <c r="T417" s="55" t="n"/>
      <c r="U417" s="55" t="n"/>
      <c r="V417" s="55" t="n"/>
      <c r="W417" s="55" t="n"/>
      <c r="X417" s="55" t="n"/>
      <c r="Y417" s="55" t="n"/>
    </row>
    <row r="418">
      <c r="S418" s="55" t="n"/>
      <c r="T418" s="55" t="n"/>
      <c r="U418" s="55" t="n"/>
      <c r="V418" s="55" t="n"/>
      <c r="W418" s="55" t="n"/>
      <c r="X418" s="55" t="n"/>
      <c r="Y418" s="55" t="n"/>
    </row>
    <row r="419">
      <c r="S419" s="55" t="n"/>
      <c r="T419" s="55" t="n"/>
      <c r="U419" s="55" t="n"/>
      <c r="V419" s="55" t="n"/>
      <c r="W419" s="55" t="n"/>
      <c r="X419" s="55" t="n"/>
      <c r="Y419" s="55" t="n"/>
    </row>
    <row r="420">
      <c r="S420" s="55" t="n"/>
      <c r="T420" s="55" t="n"/>
      <c r="U420" s="55" t="n"/>
      <c r="V420" s="55" t="n"/>
      <c r="W420" s="55" t="n"/>
      <c r="X420" s="55" t="n"/>
      <c r="Y420" s="55" t="n"/>
    </row>
    <row r="421">
      <c r="S421" s="55" t="n"/>
      <c r="T421" s="55" t="n"/>
      <c r="U421" s="55" t="n"/>
      <c r="V421" s="55" t="n"/>
      <c r="W421" s="55" t="n"/>
      <c r="X421" s="55" t="n"/>
      <c r="Y421" s="55" t="n"/>
    </row>
    <row r="422">
      <c r="S422" s="55" t="n"/>
      <c r="T422" s="55" t="n"/>
      <c r="U422" s="55" t="n"/>
      <c r="V422" s="55" t="n"/>
      <c r="W422" s="55" t="n"/>
      <c r="X422" s="55" t="n"/>
      <c r="Y422" s="55" t="n"/>
    </row>
    <row r="423">
      <c r="S423" s="55" t="n"/>
      <c r="T423" s="55" t="n"/>
      <c r="U423" s="55" t="n"/>
      <c r="V423" s="55" t="n"/>
      <c r="W423" s="55" t="n"/>
      <c r="X423" s="55" t="n"/>
      <c r="Y423" s="55" t="n"/>
    </row>
    <row r="424">
      <c r="S424" s="55" t="n"/>
      <c r="T424" s="55" t="n"/>
      <c r="U424" s="55" t="n"/>
      <c r="V424" s="55" t="n"/>
      <c r="W424" s="55" t="n"/>
      <c r="X424" s="55" t="n"/>
      <c r="Y424" s="55" t="n"/>
    </row>
    <row r="425">
      <c r="S425" s="55" t="n"/>
      <c r="T425" s="55" t="n"/>
      <c r="U425" s="55" t="n"/>
      <c r="V425" s="55" t="n"/>
      <c r="W425" s="55" t="n"/>
      <c r="X425" s="55" t="n"/>
      <c r="Y425" s="55" t="n"/>
    </row>
    <row r="426">
      <c r="S426" s="55" t="n"/>
      <c r="T426" s="55" t="n"/>
      <c r="U426" s="55" t="n"/>
      <c r="V426" s="55" t="n"/>
      <c r="W426" s="55" t="n"/>
      <c r="X426" s="55" t="n"/>
      <c r="Y426" s="55" t="n"/>
    </row>
    <row r="427">
      <c r="S427" s="55" t="n"/>
      <c r="T427" s="55" t="n"/>
      <c r="U427" s="55" t="n"/>
      <c r="V427" s="55" t="n"/>
      <c r="W427" s="55" t="n"/>
      <c r="X427" s="55" t="n"/>
      <c r="Y427" s="55" t="n"/>
    </row>
    <row r="428">
      <c r="S428" s="55" t="n"/>
      <c r="T428" s="55" t="n"/>
      <c r="U428" s="55" t="n"/>
      <c r="V428" s="55" t="n"/>
      <c r="W428" s="55" t="n"/>
      <c r="X428" s="55" t="n"/>
      <c r="Y428" s="55" t="n"/>
    </row>
    <row r="429">
      <c r="S429" s="55" t="n"/>
      <c r="T429" s="55" t="n"/>
      <c r="U429" s="55" t="n"/>
      <c r="V429" s="55" t="n"/>
      <c r="W429" s="55" t="n"/>
      <c r="X429" s="55" t="n"/>
      <c r="Y429" s="55" t="n"/>
    </row>
    <row r="430">
      <c r="S430" s="55" t="n"/>
      <c r="T430" s="55" t="n"/>
      <c r="U430" s="55" t="n"/>
      <c r="V430" s="55" t="n"/>
      <c r="W430" s="55" t="n"/>
      <c r="X430" s="55" t="n"/>
      <c r="Y430" s="55" t="n"/>
    </row>
    <row r="431">
      <c r="S431" s="55" t="n"/>
      <c r="T431" s="55" t="n"/>
      <c r="U431" s="55" t="n"/>
      <c r="V431" s="55" t="n"/>
      <c r="W431" s="55" t="n"/>
      <c r="X431" s="55" t="n"/>
      <c r="Y431" s="55" t="n"/>
    </row>
    <row r="432">
      <c r="S432" s="55" t="n"/>
      <c r="T432" s="55" t="n"/>
      <c r="U432" s="55" t="n"/>
      <c r="V432" s="55" t="n"/>
      <c r="W432" s="55" t="n"/>
      <c r="X432" s="55" t="n"/>
      <c r="Y432" s="55" t="n"/>
    </row>
    <row r="433">
      <c r="S433" s="55" t="n"/>
      <c r="T433" s="55" t="n"/>
      <c r="U433" s="55" t="n"/>
      <c r="V433" s="55" t="n"/>
      <c r="W433" s="55" t="n"/>
      <c r="X433" s="55" t="n"/>
      <c r="Y433" s="55" t="n"/>
    </row>
    <row r="434">
      <c r="S434" s="55" t="n"/>
      <c r="T434" s="55" t="n"/>
      <c r="U434" s="55" t="n"/>
      <c r="V434" s="55" t="n"/>
      <c r="W434" s="55" t="n"/>
      <c r="X434" s="55" t="n"/>
      <c r="Y434" s="55" t="n"/>
    </row>
    <row r="435">
      <c r="S435" s="55" t="n"/>
      <c r="T435" s="55" t="n"/>
      <c r="U435" s="55" t="n"/>
      <c r="V435" s="55" t="n"/>
      <c r="W435" s="55" t="n"/>
      <c r="X435" s="55" t="n"/>
      <c r="Y435" s="55" t="n"/>
    </row>
    <row r="436">
      <c r="S436" s="55" t="n"/>
      <c r="T436" s="55" t="n"/>
      <c r="U436" s="55" t="n"/>
      <c r="V436" s="55" t="n"/>
      <c r="W436" s="55" t="n"/>
      <c r="X436" s="55" t="n"/>
      <c r="Y436" s="55" t="n"/>
    </row>
    <row r="437">
      <c r="S437" s="55" t="n"/>
      <c r="T437" s="55" t="n"/>
      <c r="U437" s="55" t="n"/>
      <c r="V437" s="55" t="n"/>
      <c r="W437" s="55" t="n"/>
      <c r="X437" s="55" t="n"/>
      <c r="Y437" s="55" t="n"/>
    </row>
    <row r="438">
      <c r="S438" s="55" t="n"/>
      <c r="T438" s="55" t="n"/>
      <c r="U438" s="55" t="n"/>
      <c r="V438" s="55" t="n"/>
      <c r="W438" s="55" t="n"/>
      <c r="X438" s="55" t="n"/>
      <c r="Y438" s="55" t="n"/>
    </row>
    <row r="439">
      <c r="S439" s="55" t="n"/>
      <c r="T439" s="55" t="n"/>
      <c r="U439" s="55" t="n"/>
      <c r="V439" s="55" t="n"/>
      <c r="W439" s="55" t="n"/>
      <c r="X439" s="55" t="n"/>
      <c r="Y439" s="55" t="n"/>
    </row>
    <row r="440">
      <c r="S440" s="55" t="n"/>
      <c r="T440" s="55" t="n"/>
      <c r="U440" s="55" t="n"/>
      <c r="V440" s="55" t="n"/>
      <c r="W440" s="55" t="n"/>
      <c r="X440" s="55" t="n"/>
      <c r="Y440" s="55" t="n"/>
    </row>
    <row r="441">
      <c r="S441" s="55" t="n"/>
      <c r="T441" s="55" t="n"/>
      <c r="U441" s="55" t="n"/>
      <c r="V441" s="55" t="n"/>
      <c r="W441" s="55" t="n"/>
      <c r="X441" s="55" t="n"/>
      <c r="Y441" s="55" t="n"/>
    </row>
    <row r="442">
      <c r="S442" s="55" t="n"/>
      <c r="T442" s="55" t="n"/>
      <c r="U442" s="55" t="n"/>
      <c r="V442" s="55" t="n"/>
      <c r="W442" s="55" t="n"/>
      <c r="X442" s="55" t="n"/>
      <c r="Y442" s="55" t="n"/>
    </row>
    <row r="443">
      <c r="S443" s="55" t="n"/>
      <c r="T443" s="55" t="n"/>
      <c r="U443" s="55" t="n"/>
      <c r="V443" s="55" t="n"/>
      <c r="W443" s="55" t="n"/>
      <c r="X443" s="55" t="n"/>
      <c r="Y443" s="55" t="n"/>
    </row>
    <row r="444">
      <c r="S444" s="55" t="n"/>
      <c r="T444" s="55" t="n"/>
      <c r="U444" s="55" t="n"/>
      <c r="V444" s="55" t="n"/>
      <c r="W444" s="55" t="n"/>
      <c r="X444" s="55" t="n"/>
      <c r="Y444" s="55" t="n"/>
    </row>
    <row r="445">
      <c r="S445" s="55" t="n"/>
      <c r="T445" s="55" t="n"/>
      <c r="U445" s="55" t="n"/>
      <c r="V445" s="55" t="n"/>
      <c r="W445" s="55" t="n"/>
      <c r="X445" s="55" t="n"/>
      <c r="Y445" s="55" t="n"/>
    </row>
    <row r="446">
      <c r="S446" s="55" t="n"/>
      <c r="T446" s="55" t="n"/>
      <c r="U446" s="55" t="n"/>
      <c r="V446" s="55" t="n"/>
      <c r="W446" s="55" t="n"/>
      <c r="X446" s="55" t="n"/>
      <c r="Y446" s="55" t="n"/>
    </row>
    <row r="447">
      <c r="S447" s="55" t="n"/>
      <c r="T447" s="55" t="n"/>
      <c r="U447" s="55" t="n"/>
      <c r="V447" s="55" t="n"/>
      <c r="W447" s="55" t="n"/>
      <c r="X447" s="55" t="n"/>
      <c r="Y447" s="55" t="n"/>
    </row>
    <row r="448">
      <c r="S448" s="55" t="n"/>
      <c r="T448" s="55" t="n"/>
      <c r="U448" s="55" t="n"/>
      <c r="V448" s="55" t="n"/>
      <c r="W448" s="55" t="n"/>
      <c r="X448" s="55" t="n"/>
      <c r="Y448" s="55" t="n"/>
    </row>
    <row r="449">
      <c r="S449" s="55" t="n"/>
      <c r="T449" s="55" t="n"/>
      <c r="U449" s="55" t="n"/>
      <c r="V449" s="55" t="n"/>
      <c r="W449" s="55" t="n"/>
      <c r="X449" s="55" t="n"/>
      <c r="Y449" s="55" t="n"/>
    </row>
    <row r="450">
      <c r="S450" s="55" t="n"/>
      <c r="T450" s="55" t="n"/>
      <c r="U450" s="55" t="n"/>
      <c r="V450" s="55" t="n"/>
      <c r="W450" s="55" t="n"/>
      <c r="X450" s="55" t="n"/>
      <c r="Y450" s="55" t="n"/>
    </row>
    <row r="451">
      <c r="S451" s="55" t="n"/>
      <c r="T451" s="55" t="n"/>
      <c r="U451" s="55" t="n"/>
      <c r="V451" s="55" t="n"/>
      <c r="W451" s="55" t="n"/>
      <c r="X451" s="55" t="n"/>
      <c r="Y451" s="55" t="n"/>
    </row>
    <row r="452">
      <c r="S452" s="55" t="n"/>
      <c r="T452" s="55" t="n"/>
      <c r="U452" s="55" t="n"/>
      <c r="V452" s="55" t="n"/>
      <c r="W452" s="55" t="n"/>
      <c r="X452" s="55" t="n"/>
      <c r="Y452" s="55" t="n"/>
    </row>
    <row r="453">
      <c r="S453" s="55" t="n"/>
      <c r="T453" s="55" t="n"/>
      <c r="U453" s="55" t="n"/>
      <c r="V453" s="55" t="n"/>
      <c r="W453" s="55" t="n"/>
      <c r="X453" s="55" t="n"/>
      <c r="Y453" s="55" t="n"/>
    </row>
    <row r="454">
      <c r="S454" s="55" t="n"/>
      <c r="T454" s="55" t="n"/>
      <c r="U454" s="55" t="n"/>
      <c r="V454" s="55" t="n"/>
      <c r="W454" s="55" t="n"/>
      <c r="X454" s="55" t="n"/>
      <c r="Y454" s="55" t="n"/>
    </row>
    <row r="455">
      <c r="S455" s="55" t="n"/>
      <c r="T455" s="55" t="n"/>
      <c r="U455" s="55" t="n"/>
      <c r="V455" s="55" t="n"/>
      <c r="W455" s="55" t="n"/>
      <c r="X455" s="55" t="n"/>
      <c r="Y455" s="55" t="n"/>
    </row>
    <row r="456">
      <c r="S456" s="55" t="n"/>
      <c r="T456" s="55" t="n"/>
      <c r="U456" s="55" t="n"/>
      <c r="V456" s="55" t="n"/>
      <c r="W456" s="55" t="n"/>
      <c r="X456" s="55" t="n"/>
      <c r="Y456" s="55" t="n"/>
    </row>
    <row r="457">
      <c r="S457" s="55" t="n"/>
      <c r="T457" s="55" t="n"/>
      <c r="U457" s="55" t="n"/>
      <c r="V457" s="55" t="n"/>
      <c r="W457" s="55" t="n"/>
      <c r="X457" s="55" t="n"/>
      <c r="Y457" s="55" t="n"/>
    </row>
    <row r="458">
      <c r="S458" s="55" t="n"/>
      <c r="T458" s="55" t="n"/>
      <c r="U458" s="55" t="n"/>
      <c r="V458" s="55" t="n"/>
      <c r="W458" s="55" t="n"/>
      <c r="X458" s="55" t="n"/>
      <c r="Y458" s="55" t="n"/>
    </row>
    <row r="459">
      <c r="S459" s="55" t="n"/>
      <c r="T459" s="55" t="n"/>
      <c r="U459" s="55" t="n"/>
      <c r="V459" s="55" t="n"/>
      <c r="W459" s="55" t="n"/>
      <c r="X459" s="55" t="n"/>
      <c r="Y459" s="55" t="n"/>
    </row>
    <row r="460">
      <c r="S460" s="55" t="n"/>
      <c r="T460" s="55" t="n"/>
      <c r="U460" s="55" t="n"/>
      <c r="V460" s="55" t="n"/>
      <c r="W460" s="55" t="n"/>
      <c r="X460" s="55" t="n"/>
      <c r="Y460" s="55" t="n"/>
    </row>
    <row r="461">
      <c r="S461" s="55" t="n"/>
      <c r="T461" s="55" t="n"/>
      <c r="U461" s="55" t="n"/>
      <c r="V461" s="55" t="n"/>
      <c r="W461" s="55" t="n"/>
      <c r="X461" s="55" t="n"/>
      <c r="Y461" s="55" t="n"/>
    </row>
    <row r="462">
      <c r="S462" s="55" t="n"/>
      <c r="T462" s="55" t="n"/>
      <c r="U462" s="55" t="n"/>
      <c r="V462" s="55" t="n"/>
      <c r="W462" s="55" t="n"/>
      <c r="X462" s="55" t="n"/>
      <c r="Y462" s="55" t="n"/>
    </row>
    <row r="463">
      <c r="S463" s="55" t="n"/>
      <c r="T463" s="55" t="n"/>
      <c r="U463" s="55" t="n"/>
      <c r="V463" s="55" t="n"/>
      <c r="W463" s="55" t="n"/>
      <c r="X463" s="55" t="n"/>
      <c r="Y463" s="55" t="n"/>
    </row>
    <row r="464">
      <c r="S464" s="55" t="n"/>
      <c r="T464" s="55" t="n"/>
      <c r="U464" s="55" t="n"/>
      <c r="V464" s="55" t="n"/>
      <c r="W464" s="55" t="n"/>
      <c r="X464" s="55" t="n"/>
      <c r="Y464" s="55" t="n"/>
    </row>
    <row r="465">
      <c r="S465" s="55" t="n"/>
      <c r="T465" s="55" t="n"/>
      <c r="U465" s="55" t="n"/>
      <c r="V465" s="55" t="n"/>
      <c r="W465" s="55" t="n"/>
      <c r="X465" s="55" t="n"/>
      <c r="Y465" s="55" t="n"/>
    </row>
    <row r="466">
      <c r="S466" s="55" t="n"/>
      <c r="T466" s="55" t="n"/>
      <c r="U466" s="55" t="n"/>
      <c r="V466" s="55" t="n"/>
      <c r="W466" s="55" t="n"/>
      <c r="X466" s="55" t="n"/>
      <c r="Y466" s="55" t="n"/>
    </row>
    <row r="467">
      <c r="S467" s="55" t="n"/>
      <c r="T467" s="55" t="n"/>
      <c r="U467" s="55" t="n"/>
      <c r="V467" s="55" t="n"/>
      <c r="W467" s="55" t="n"/>
      <c r="X467" s="55" t="n"/>
      <c r="Y467" s="55" t="n"/>
    </row>
    <row r="468">
      <c r="S468" s="55" t="n"/>
      <c r="T468" s="55" t="n"/>
      <c r="U468" s="55" t="n"/>
      <c r="V468" s="55" t="n"/>
      <c r="W468" s="55" t="n"/>
      <c r="X468" s="55" t="n"/>
      <c r="Y468" s="55" t="n"/>
    </row>
    <row r="469">
      <c r="S469" s="55" t="n"/>
      <c r="T469" s="55" t="n"/>
      <c r="U469" s="55" t="n"/>
      <c r="V469" s="55" t="n"/>
      <c r="W469" s="55" t="n"/>
      <c r="X469" s="55" t="n"/>
      <c r="Y469" s="55" t="n"/>
    </row>
    <row r="470">
      <c r="S470" s="55" t="n"/>
      <c r="T470" s="55" t="n"/>
      <c r="U470" s="55" t="n"/>
      <c r="V470" s="55" t="n"/>
      <c r="W470" s="55" t="n"/>
      <c r="X470" s="55" t="n"/>
      <c r="Y470" s="55" t="n"/>
    </row>
    <row r="471">
      <c r="S471" s="55" t="n"/>
      <c r="T471" s="55" t="n"/>
      <c r="U471" s="55" t="n"/>
      <c r="V471" s="55" t="n"/>
      <c r="W471" s="55" t="n"/>
      <c r="X471" s="55" t="n"/>
      <c r="Y471" s="55" t="n"/>
    </row>
    <row r="472">
      <c r="S472" s="55" t="n"/>
      <c r="T472" s="55" t="n"/>
      <c r="U472" s="55" t="n"/>
      <c r="V472" s="55" t="n"/>
      <c r="W472" s="55" t="n"/>
      <c r="X472" s="55" t="n"/>
      <c r="Y472" s="55" t="n"/>
    </row>
    <row r="473">
      <c r="S473" s="55" t="n"/>
      <c r="T473" s="55" t="n"/>
      <c r="U473" s="55" t="n"/>
      <c r="V473" s="55" t="n"/>
      <c r="W473" s="55" t="n"/>
      <c r="X473" s="55" t="n"/>
      <c r="Y473" s="55" t="n"/>
    </row>
    <row r="474">
      <c r="S474" s="55" t="n"/>
      <c r="T474" s="55" t="n"/>
      <c r="U474" s="55" t="n"/>
      <c r="V474" s="55" t="n"/>
      <c r="W474" s="55" t="n"/>
      <c r="X474" s="55" t="n"/>
      <c r="Y474" s="55" t="n"/>
    </row>
    <row r="475">
      <c r="S475" s="55" t="n"/>
      <c r="T475" s="55" t="n"/>
      <c r="U475" s="55" t="n"/>
      <c r="V475" s="55" t="n"/>
      <c r="W475" s="55" t="n"/>
      <c r="X475" s="55" t="n"/>
      <c r="Y475" s="55" t="n"/>
    </row>
    <row r="476">
      <c r="S476" s="55" t="n"/>
      <c r="T476" s="55" t="n"/>
      <c r="U476" s="55" t="n"/>
      <c r="V476" s="55" t="n"/>
      <c r="W476" s="55" t="n"/>
      <c r="X476" s="55" t="n"/>
      <c r="Y476" s="55" t="n"/>
    </row>
    <row r="477">
      <c r="S477" s="55" t="n"/>
      <c r="T477" s="55" t="n"/>
      <c r="U477" s="55" t="n"/>
      <c r="V477" s="55" t="n"/>
      <c r="W477" s="55" t="n"/>
      <c r="X477" s="55" t="n"/>
      <c r="Y477" s="55" t="n"/>
    </row>
    <row r="478">
      <c r="S478" s="55" t="n"/>
      <c r="T478" s="55" t="n"/>
      <c r="U478" s="55" t="n"/>
      <c r="V478" s="55" t="n"/>
      <c r="W478" s="55" t="n"/>
      <c r="X478" s="55" t="n"/>
      <c r="Y478" s="55" t="n"/>
    </row>
    <row r="479">
      <c r="S479" s="55" t="n"/>
      <c r="T479" s="55" t="n"/>
      <c r="U479" s="55" t="n"/>
      <c r="V479" s="55" t="n"/>
      <c r="W479" s="55" t="n"/>
      <c r="X479" s="55" t="n"/>
      <c r="Y479" s="55" t="n"/>
    </row>
    <row r="480">
      <c r="S480" s="55" t="n"/>
      <c r="T480" s="55" t="n"/>
      <c r="U480" s="55" t="n"/>
      <c r="V480" s="55" t="n"/>
      <c r="W480" s="55" t="n"/>
      <c r="X480" s="55" t="n"/>
      <c r="Y480" s="55" t="n"/>
    </row>
    <row r="481">
      <c r="S481" s="55" t="n"/>
      <c r="T481" s="55" t="n"/>
      <c r="U481" s="55" t="n"/>
      <c r="V481" s="55" t="n"/>
      <c r="W481" s="55" t="n"/>
      <c r="X481" s="55" t="n"/>
      <c r="Y481" s="55" t="n"/>
    </row>
    <row r="482">
      <c r="S482" s="55" t="n"/>
      <c r="T482" s="55" t="n"/>
      <c r="U482" s="55" t="n"/>
      <c r="V482" s="55" t="n"/>
      <c r="W482" s="55" t="n"/>
      <c r="X482" s="55" t="n"/>
      <c r="Y482" s="55" t="n"/>
    </row>
    <row r="483">
      <c r="S483" s="55" t="n"/>
      <c r="T483" s="55" t="n"/>
      <c r="U483" s="55" t="n"/>
      <c r="V483" s="55" t="n"/>
      <c r="W483" s="55" t="n"/>
      <c r="X483" s="55" t="n"/>
      <c r="Y483" s="55" t="n"/>
    </row>
    <row r="484">
      <c r="S484" s="55" t="n"/>
      <c r="T484" s="55" t="n"/>
      <c r="U484" s="55" t="n"/>
      <c r="V484" s="55" t="n"/>
      <c r="W484" s="55" t="n"/>
      <c r="X484" s="55" t="n"/>
      <c r="Y484" s="55" t="n"/>
    </row>
    <row r="485">
      <c r="S485" s="55" t="n"/>
      <c r="T485" s="55" t="n"/>
      <c r="U485" s="55" t="n"/>
      <c r="V485" s="55" t="n"/>
      <c r="W485" s="55" t="n"/>
      <c r="X485" s="55" t="n"/>
      <c r="Y485" s="55" t="n"/>
    </row>
    <row r="486">
      <c r="S486" s="55" t="n"/>
      <c r="T486" s="55" t="n"/>
      <c r="U486" s="55" t="n"/>
      <c r="V486" s="55" t="n"/>
      <c r="W486" s="55" t="n"/>
      <c r="X486" s="55" t="n"/>
      <c r="Y486" s="55" t="n"/>
    </row>
    <row r="487">
      <c r="S487" s="55" t="n"/>
      <c r="T487" s="55" t="n"/>
      <c r="U487" s="55" t="n"/>
      <c r="V487" s="55" t="n"/>
      <c r="W487" s="55" t="n"/>
      <c r="X487" s="55" t="n"/>
      <c r="Y487" s="55" t="n"/>
    </row>
    <row r="488">
      <c r="S488" s="55" t="n"/>
      <c r="T488" s="55" t="n"/>
      <c r="U488" s="55" t="n"/>
      <c r="V488" s="55" t="n"/>
      <c r="W488" s="55" t="n"/>
      <c r="X488" s="55" t="n"/>
      <c r="Y488" s="55" t="n"/>
    </row>
    <row r="489">
      <c r="S489" s="55" t="n"/>
      <c r="T489" s="55" t="n"/>
      <c r="U489" s="55" t="n"/>
      <c r="V489" s="55" t="n"/>
      <c r="W489" s="55" t="n"/>
      <c r="X489" s="55" t="n"/>
      <c r="Y489" s="55" t="n"/>
    </row>
    <row r="490">
      <c r="S490" s="55" t="n"/>
      <c r="T490" s="55" t="n"/>
      <c r="U490" s="55" t="n"/>
      <c r="V490" s="55" t="n"/>
      <c r="W490" s="55" t="n"/>
      <c r="X490" s="55" t="n"/>
      <c r="Y490" s="55" t="n"/>
    </row>
    <row r="491">
      <c r="S491" s="55" t="n"/>
      <c r="T491" s="55" t="n"/>
      <c r="U491" s="55" t="n"/>
      <c r="V491" s="55" t="n"/>
      <c r="W491" s="55" t="n"/>
      <c r="X491" s="55" t="n"/>
      <c r="Y491" s="55" t="n"/>
    </row>
    <row r="492">
      <c r="S492" s="55" t="n"/>
      <c r="T492" s="55" t="n"/>
      <c r="U492" s="55" t="n"/>
      <c r="V492" s="55" t="n"/>
      <c r="W492" s="55" t="n"/>
      <c r="X492" s="55" t="n"/>
      <c r="Y492" s="55" t="n"/>
    </row>
    <row r="493">
      <c r="S493" s="55" t="n"/>
      <c r="T493" s="55" t="n"/>
      <c r="U493" s="55" t="n"/>
      <c r="V493" s="55" t="n"/>
      <c r="W493" s="55" t="n"/>
      <c r="X493" s="55" t="n"/>
      <c r="Y493" s="55" t="n"/>
    </row>
    <row r="494">
      <c r="S494" s="55" t="n"/>
      <c r="T494" s="55" t="n"/>
      <c r="U494" s="55" t="n"/>
      <c r="V494" s="55" t="n"/>
      <c r="W494" s="55" t="n"/>
      <c r="X494" s="55" t="n"/>
      <c r="Y494" s="55" t="n"/>
    </row>
    <row r="495">
      <c r="S495" s="55" t="n"/>
      <c r="T495" s="55" t="n"/>
      <c r="U495" s="55" t="n"/>
      <c r="V495" s="55" t="n"/>
      <c r="W495" s="55" t="n"/>
      <c r="X495" s="55" t="n"/>
      <c r="Y495" s="55" t="n"/>
    </row>
    <row r="496">
      <c r="S496" s="55" t="n"/>
      <c r="T496" s="55" t="n"/>
      <c r="U496" s="55" t="n"/>
      <c r="V496" s="55" t="n"/>
      <c r="W496" s="55" t="n"/>
      <c r="X496" s="55" t="n"/>
      <c r="Y496" s="55" t="n"/>
    </row>
    <row r="497">
      <c r="S497" s="55" t="n"/>
      <c r="T497" s="55" t="n"/>
      <c r="U497" s="55" t="n"/>
      <c r="V497" s="55" t="n"/>
      <c r="W497" s="55" t="n"/>
      <c r="X497" s="55" t="n"/>
      <c r="Y497" s="55" t="n"/>
    </row>
    <row r="498">
      <c r="S498" s="55" t="n"/>
      <c r="T498" s="55" t="n"/>
      <c r="U498" s="55" t="n"/>
      <c r="V498" s="55" t="n"/>
      <c r="W498" s="55" t="n"/>
      <c r="X498" s="55" t="n"/>
      <c r="Y498" s="55" t="n"/>
    </row>
    <row r="499">
      <c r="S499" s="55" t="n"/>
      <c r="T499" s="55" t="n"/>
      <c r="U499" s="55" t="n"/>
      <c r="V499" s="55" t="n"/>
      <c r="W499" s="55" t="n"/>
      <c r="X499" s="55" t="n"/>
      <c r="Y499" s="55" t="n"/>
    </row>
    <row r="500">
      <c r="S500" s="55" t="n"/>
      <c r="T500" s="55" t="n"/>
      <c r="U500" s="55" t="n"/>
      <c r="V500" s="55" t="n"/>
      <c r="W500" s="55" t="n"/>
      <c r="X500" s="55" t="n"/>
      <c r="Y500" s="55" t="n"/>
    </row>
    <row r="501">
      <c r="S501" s="55" t="n"/>
      <c r="T501" s="55" t="n"/>
      <c r="U501" s="55" t="n"/>
      <c r="V501" s="55" t="n"/>
      <c r="W501" s="55" t="n"/>
      <c r="X501" s="55" t="n"/>
      <c r="Y501" s="55" t="n"/>
    </row>
    <row r="502">
      <c r="S502" s="55" t="n"/>
      <c r="T502" s="55" t="n"/>
      <c r="U502" s="55" t="n"/>
      <c r="V502" s="55" t="n"/>
      <c r="W502" s="55" t="n"/>
      <c r="X502" s="55" t="n"/>
      <c r="Y502" s="55" t="n"/>
    </row>
    <row r="503">
      <c r="S503" s="55" t="n"/>
      <c r="T503" s="55" t="n"/>
      <c r="U503" s="55" t="n"/>
      <c r="V503" s="55" t="n"/>
      <c r="W503" s="55" t="n"/>
      <c r="X503" s="55" t="n"/>
      <c r="Y503" s="55" t="n"/>
    </row>
    <row r="504">
      <c r="S504" s="55" t="n"/>
      <c r="T504" s="55" t="n"/>
      <c r="U504" s="55" t="n"/>
      <c r="V504" s="55" t="n"/>
      <c r="W504" s="55" t="n"/>
      <c r="X504" s="55" t="n"/>
      <c r="Y504" s="55" t="n"/>
    </row>
    <row r="505">
      <c r="S505" s="55" t="n"/>
      <c r="T505" s="55" t="n"/>
      <c r="U505" s="55" t="n"/>
      <c r="V505" s="55" t="n"/>
      <c r="W505" s="55" t="n"/>
      <c r="X505" s="55" t="n"/>
      <c r="Y505" s="55" t="n"/>
    </row>
    <row r="506">
      <c r="S506" s="55" t="n"/>
      <c r="T506" s="55" t="n"/>
      <c r="U506" s="55" t="n"/>
      <c r="V506" s="55" t="n"/>
      <c r="W506" s="55" t="n"/>
      <c r="X506" s="55" t="n"/>
      <c r="Y506" s="55" t="n"/>
    </row>
    <row r="507">
      <c r="S507" s="55" t="n"/>
      <c r="T507" s="55" t="n"/>
      <c r="U507" s="55" t="n"/>
      <c r="V507" s="55" t="n"/>
      <c r="W507" s="55" t="n"/>
      <c r="X507" s="55" t="n"/>
      <c r="Y507" s="55" t="n"/>
    </row>
    <row r="508">
      <c r="S508" s="55" t="n"/>
      <c r="T508" s="55" t="n"/>
      <c r="U508" s="55" t="n"/>
      <c r="V508" s="55" t="n"/>
      <c r="W508" s="55" t="n"/>
      <c r="X508" s="55" t="n"/>
      <c r="Y508" s="55" t="n"/>
    </row>
    <row r="509">
      <c r="S509" s="55" t="n"/>
      <c r="T509" s="55" t="n"/>
      <c r="U509" s="55" t="n"/>
      <c r="V509" s="55" t="n"/>
      <c r="W509" s="55" t="n"/>
      <c r="X509" s="55" t="n"/>
      <c r="Y509" s="55" t="n"/>
    </row>
    <row r="510">
      <c r="S510" s="55" t="n"/>
      <c r="T510" s="55" t="n"/>
      <c r="U510" s="55" t="n"/>
      <c r="V510" s="55" t="n"/>
      <c r="W510" s="55" t="n"/>
      <c r="X510" s="55" t="n"/>
      <c r="Y510" s="55" t="n"/>
    </row>
    <row r="511">
      <c r="S511" s="55" t="n"/>
      <c r="T511" s="55" t="n"/>
      <c r="U511" s="55" t="n"/>
      <c r="V511" s="55" t="n"/>
      <c r="W511" s="55" t="n"/>
      <c r="X511" s="55" t="n"/>
      <c r="Y511" s="55" t="n"/>
    </row>
    <row r="512">
      <c r="S512" s="55" t="n"/>
      <c r="T512" s="55" t="n"/>
      <c r="U512" s="55" t="n"/>
      <c r="V512" s="55" t="n"/>
      <c r="W512" s="55" t="n"/>
      <c r="X512" s="55" t="n"/>
      <c r="Y512" s="55" t="n"/>
    </row>
    <row r="513">
      <c r="S513" s="55" t="n"/>
      <c r="T513" s="55" t="n"/>
      <c r="U513" s="55" t="n"/>
      <c r="V513" s="55" t="n"/>
      <c r="W513" s="55" t="n"/>
      <c r="X513" s="55" t="n"/>
      <c r="Y513" s="55" t="n"/>
    </row>
    <row r="514">
      <c r="S514" s="55" t="n"/>
      <c r="T514" s="55" t="n"/>
      <c r="U514" s="55" t="n"/>
      <c r="V514" s="55" t="n"/>
      <c r="W514" s="55" t="n"/>
      <c r="X514" s="55" t="n"/>
      <c r="Y514" s="55" t="n"/>
    </row>
    <row r="515">
      <c r="S515" s="55" t="n"/>
      <c r="T515" s="55" t="n"/>
      <c r="U515" s="55" t="n"/>
      <c r="V515" s="55" t="n"/>
      <c r="W515" s="55" t="n"/>
      <c r="X515" s="55" t="n"/>
      <c r="Y515" s="55" t="n"/>
    </row>
    <row r="516">
      <c r="S516" s="55" t="n"/>
      <c r="T516" s="55" t="n"/>
      <c r="U516" s="55" t="n"/>
      <c r="V516" s="55" t="n"/>
      <c r="W516" s="55" t="n"/>
      <c r="X516" s="55" t="n"/>
      <c r="Y516" s="55" t="n"/>
    </row>
    <row r="517">
      <c r="S517" s="55" t="n"/>
      <c r="T517" s="55" t="n"/>
      <c r="U517" s="55" t="n"/>
      <c r="V517" s="55" t="n"/>
      <c r="W517" s="55" t="n"/>
      <c r="X517" s="55" t="n"/>
      <c r="Y517" s="55" t="n"/>
    </row>
    <row r="518">
      <c r="S518" s="55" t="n"/>
      <c r="T518" s="55" t="n"/>
      <c r="U518" s="55" t="n"/>
      <c r="V518" s="55" t="n"/>
      <c r="W518" s="55" t="n"/>
      <c r="X518" s="55" t="n"/>
      <c r="Y518" s="55" t="n"/>
    </row>
    <row r="519">
      <c r="S519" s="55" t="n"/>
      <c r="T519" s="55" t="n"/>
      <c r="U519" s="55" t="n"/>
      <c r="V519" s="55" t="n"/>
      <c r="W519" s="55" t="n"/>
      <c r="X519" s="55" t="n"/>
      <c r="Y519" s="55" t="n"/>
    </row>
    <row r="520">
      <c r="S520" s="55" t="n"/>
      <c r="T520" s="55" t="n"/>
      <c r="U520" s="55" t="n"/>
      <c r="V520" s="55" t="n"/>
      <c r="W520" s="55" t="n"/>
      <c r="X520" s="55" t="n"/>
      <c r="Y520" s="55" t="n"/>
    </row>
    <row r="521">
      <c r="S521" s="55" t="n"/>
      <c r="T521" s="55" t="n"/>
      <c r="U521" s="55" t="n"/>
      <c r="V521" s="55" t="n"/>
      <c r="W521" s="55" t="n"/>
      <c r="X521" s="55" t="n"/>
      <c r="Y521" s="55" t="n"/>
    </row>
    <row r="522">
      <c r="S522" s="55" t="n"/>
      <c r="T522" s="55" t="n"/>
      <c r="U522" s="55" t="n"/>
      <c r="V522" s="55" t="n"/>
      <c r="W522" s="55" t="n"/>
      <c r="X522" s="55" t="n"/>
      <c r="Y522" s="55" t="n"/>
    </row>
    <row r="523">
      <c r="S523" s="55" t="n"/>
      <c r="T523" s="55" t="n"/>
      <c r="U523" s="55" t="n"/>
      <c r="V523" s="55" t="n"/>
      <c r="W523" s="55" t="n"/>
      <c r="X523" s="55" t="n"/>
      <c r="Y523" s="55" t="n"/>
    </row>
    <row r="524">
      <c r="S524" s="55" t="n"/>
      <c r="T524" s="55" t="n"/>
      <c r="U524" s="55" t="n"/>
      <c r="V524" s="55" t="n"/>
      <c r="W524" s="55" t="n"/>
      <c r="X524" s="55" t="n"/>
      <c r="Y524" s="55" t="n"/>
    </row>
    <row r="525">
      <c r="S525" s="55" t="n"/>
      <c r="T525" s="55" t="n"/>
      <c r="U525" s="55" t="n"/>
      <c r="V525" s="55" t="n"/>
      <c r="W525" s="55" t="n"/>
      <c r="X525" s="55" t="n"/>
      <c r="Y525" s="55" t="n"/>
    </row>
    <row r="526">
      <c r="S526" s="55" t="n"/>
      <c r="T526" s="55" t="n"/>
      <c r="U526" s="55" t="n"/>
      <c r="V526" s="55" t="n"/>
      <c r="W526" s="55" t="n"/>
      <c r="X526" s="55" t="n"/>
      <c r="Y526" s="55" t="n"/>
    </row>
    <row r="527">
      <c r="S527" s="55" t="n"/>
      <c r="T527" s="55" t="n"/>
      <c r="U527" s="55" t="n"/>
      <c r="V527" s="55" t="n"/>
      <c r="W527" s="55" t="n"/>
      <c r="X527" s="55" t="n"/>
      <c r="Y527" s="55" t="n"/>
    </row>
    <row r="528">
      <c r="S528" s="55" t="n"/>
      <c r="T528" s="55" t="n"/>
      <c r="U528" s="55" t="n"/>
      <c r="V528" s="55" t="n"/>
      <c r="W528" s="55" t="n"/>
      <c r="X528" s="55" t="n"/>
      <c r="Y528" s="55" t="n"/>
    </row>
    <row r="529">
      <c r="S529" s="55" t="n"/>
      <c r="T529" s="55" t="n"/>
      <c r="U529" s="55" t="n"/>
      <c r="V529" s="55" t="n"/>
      <c r="W529" s="55" t="n"/>
      <c r="X529" s="55" t="n"/>
      <c r="Y529" s="55" t="n"/>
    </row>
    <row r="530">
      <c r="S530" s="55" t="n"/>
      <c r="T530" s="55" t="n"/>
      <c r="U530" s="55" t="n"/>
      <c r="V530" s="55" t="n"/>
      <c r="W530" s="55" t="n"/>
      <c r="X530" s="55" t="n"/>
      <c r="Y530" s="55" t="n"/>
    </row>
    <row r="531">
      <c r="S531" s="55" t="n"/>
      <c r="T531" s="55" t="n"/>
      <c r="U531" s="55" t="n"/>
      <c r="V531" s="55" t="n"/>
      <c r="W531" s="55" t="n"/>
      <c r="X531" s="55" t="n"/>
      <c r="Y531" s="55" t="n"/>
    </row>
    <row r="532">
      <c r="S532" s="55" t="n"/>
      <c r="T532" s="55" t="n"/>
      <c r="U532" s="55" t="n"/>
      <c r="V532" s="55" t="n"/>
      <c r="W532" s="55" t="n"/>
      <c r="X532" s="55" t="n"/>
      <c r="Y532" s="55" t="n"/>
    </row>
    <row r="533">
      <c r="S533" s="55" t="n"/>
      <c r="T533" s="55" t="n"/>
      <c r="U533" s="55" t="n"/>
      <c r="V533" s="55" t="n"/>
      <c r="W533" s="55" t="n"/>
      <c r="X533" s="55" t="n"/>
      <c r="Y533" s="55" t="n"/>
    </row>
    <row r="534">
      <c r="S534" s="55" t="n"/>
      <c r="T534" s="55" t="n"/>
      <c r="U534" s="55" t="n"/>
      <c r="V534" s="55" t="n"/>
      <c r="W534" s="55" t="n"/>
      <c r="X534" s="55" t="n"/>
      <c r="Y534" s="55" t="n"/>
    </row>
    <row r="535">
      <c r="S535" s="55" t="n"/>
      <c r="T535" s="55" t="n"/>
      <c r="U535" s="55" t="n"/>
      <c r="V535" s="55" t="n"/>
      <c r="W535" s="55" t="n"/>
      <c r="X535" s="55" t="n"/>
      <c r="Y535" s="55" t="n"/>
    </row>
    <row r="536">
      <c r="S536" s="55" t="n"/>
      <c r="T536" s="55" t="n"/>
      <c r="U536" s="55" t="n"/>
      <c r="V536" s="55" t="n"/>
      <c r="W536" s="55" t="n"/>
      <c r="X536" s="55" t="n"/>
      <c r="Y536" s="55" t="n"/>
    </row>
    <row r="537">
      <c r="S537" s="55" t="n"/>
      <c r="T537" s="55" t="n"/>
      <c r="U537" s="55" t="n"/>
      <c r="V537" s="55" t="n"/>
      <c r="W537" s="55" t="n"/>
      <c r="X537" s="55" t="n"/>
      <c r="Y537" s="55" t="n"/>
    </row>
    <row r="538">
      <c r="S538" s="55" t="n"/>
      <c r="T538" s="55" t="n"/>
      <c r="U538" s="55" t="n"/>
      <c r="V538" s="55" t="n"/>
      <c r="W538" s="55" t="n"/>
      <c r="X538" s="55" t="n"/>
      <c r="Y538" s="55" t="n"/>
    </row>
    <row r="539">
      <c r="S539" s="55" t="n"/>
      <c r="T539" s="55" t="n"/>
      <c r="U539" s="55" t="n"/>
      <c r="V539" s="55" t="n"/>
      <c r="W539" s="55" t="n"/>
      <c r="X539" s="55" t="n"/>
      <c r="Y539" s="55" t="n"/>
    </row>
    <row r="540">
      <c r="S540" s="55" t="n"/>
      <c r="T540" s="55" t="n"/>
      <c r="U540" s="55" t="n"/>
      <c r="V540" s="55" t="n"/>
      <c r="W540" s="55" t="n"/>
      <c r="X540" s="55" t="n"/>
      <c r="Y540" s="55" t="n"/>
    </row>
    <row r="541">
      <c r="S541" s="55" t="n"/>
      <c r="T541" s="55" t="n"/>
      <c r="U541" s="55" t="n"/>
      <c r="V541" s="55" t="n"/>
      <c r="W541" s="55" t="n"/>
      <c r="X541" s="55" t="n"/>
      <c r="Y541" s="55" t="n"/>
    </row>
    <row r="542">
      <c r="S542" s="55" t="n"/>
      <c r="T542" s="55" t="n"/>
      <c r="U542" s="55" t="n"/>
      <c r="V542" s="55" t="n"/>
      <c r="W542" s="55" t="n"/>
      <c r="X542" s="55" t="n"/>
      <c r="Y542" s="55" t="n"/>
    </row>
    <row r="543">
      <c r="S543" s="55" t="n"/>
      <c r="T543" s="55" t="n"/>
      <c r="U543" s="55" t="n"/>
      <c r="V543" s="55" t="n"/>
      <c r="W543" s="55" t="n"/>
      <c r="X543" s="55" t="n"/>
      <c r="Y543" s="55" t="n"/>
    </row>
    <row r="544">
      <c r="S544" s="55" t="n"/>
      <c r="T544" s="55" t="n"/>
      <c r="U544" s="55" t="n"/>
      <c r="V544" s="55" t="n"/>
      <c r="W544" s="55" t="n"/>
      <c r="X544" s="55" t="n"/>
      <c r="Y544" s="55" t="n"/>
    </row>
    <row r="545">
      <c r="S545" s="55" t="n"/>
      <c r="T545" s="55" t="n"/>
      <c r="U545" s="55" t="n"/>
      <c r="V545" s="55" t="n"/>
      <c r="W545" s="55" t="n"/>
      <c r="X545" s="55" t="n"/>
      <c r="Y545" s="55" t="n"/>
    </row>
    <row r="546">
      <c r="S546" s="55" t="n"/>
      <c r="T546" s="55" t="n"/>
      <c r="U546" s="55" t="n"/>
      <c r="V546" s="55" t="n"/>
      <c r="W546" s="55" t="n"/>
      <c r="X546" s="55" t="n"/>
      <c r="Y546" s="55" t="n"/>
    </row>
    <row r="547">
      <c r="S547" s="55" t="n"/>
      <c r="T547" s="55" t="n"/>
      <c r="U547" s="55" t="n"/>
      <c r="V547" s="55" t="n"/>
      <c r="W547" s="55" t="n"/>
      <c r="X547" s="55" t="n"/>
      <c r="Y547" s="55" t="n"/>
    </row>
    <row r="548">
      <c r="S548" s="55" t="n"/>
      <c r="T548" s="55" t="n"/>
      <c r="U548" s="55" t="n"/>
      <c r="V548" s="55" t="n"/>
      <c r="W548" s="55" t="n"/>
      <c r="X548" s="55" t="n"/>
      <c r="Y548" s="55" t="n"/>
    </row>
    <row r="549">
      <c r="S549" s="55" t="n"/>
      <c r="T549" s="55" t="n"/>
      <c r="U549" s="55" t="n"/>
      <c r="V549" s="55" t="n"/>
      <c r="W549" s="55" t="n"/>
      <c r="X549" s="55" t="n"/>
      <c r="Y549" s="55" t="n"/>
    </row>
    <row r="550">
      <c r="S550" s="55" t="n"/>
      <c r="T550" s="55" t="n"/>
      <c r="U550" s="55" t="n"/>
      <c r="V550" s="55" t="n"/>
      <c r="W550" s="55" t="n"/>
      <c r="X550" s="55" t="n"/>
      <c r="Y550" s="55" t="n"/>
    </row>
    <row r="551">
      <c r="S551" s="55" t="n"/>
      <c r="T551" s="55" t="n"/>
      <c r="U551" s="55" t="n"/>
      <c r="V551" s="55" t="n"/>
      <c r="W551" s="55" t="n"/>
      <c r="X551" s="55" t="n"/>
      <c r="Y551" s="55" t="n"/>
    </row>
    <row r="552">
      <c r="S552" s="55" t="n"/>
      <c r="T552" s="55" t="n"/>
      <c r="U552" s="55" t="n"/>
      <c r="V552" s="55" t="n"/>
      <c r="W552" s="55" t="n"/>
      <c r="X552" s="55" t="n"/>
      <c r="Y552" s="55" t="n"/>
    </row>
    <row r="553">
      <c r="S553" s="55" t="n"/>
      <c r="T553" s="55" t="n"/>
      <c r="U553" s="55" t="n"/>
      <c r="V553" s="55" t="n"/>
      <c r="W553" s="55" t="n"/>
      <c r="X553" s="55" t="n"/>
      <c r="Y553" s="55" t="n"/>
    </row>
    <row r="554">
      <c r="S554" s="55" t="n"/>
      <c r="T554" s="55" t="n"/>
      <c r="U554" s="55" t="n"/>
      <c r="V554" s="55" t="n"/>
      <c r="W554" s="55" t="n"/>
      <c r="X554" s="55" t="n"/>
      <c r="Y554" s="55" t="n"/>
    </row>
    <row r="555">
      <c r="S555" s="55" t="n"/>
      <c r="T555" s="55" t="n"/>
      <c r="U555" s="55" t="n"/>
      <c r="V555" s="55" t="n"/>
      <c r="W555" s="55" t="n"/>
      <c r="X555" s="55" t="n"/>
      <c r="Y555" s="55" t="n"/>
    </row>
    <row r="556">
      <c r="S556" s="55" t="n"/>
      <c r="T556" s="55" t="n"/>
      <c r="U556" s="55" t="n"/>
      <c r="V556" s="55" t="n"/>
      <c r="W556" s="55" t="n"/>
      <c r="X556" s="55" t="n"/>
      <c r="Y556" s="55" t="n"/>
    </row>
    <row r="557">
      <c r="S557" s="55" t="n"/>
      <c r="T557" s="55" t="n"/>
      <c r="U557" s="55" t="n"/>
      <c r="V557" s="55" t="n"/>
      <c r="W557" s="55" t="n"/>
      <c r="X557" s="55" t="n"/>
      <c r="Y557" s="55" t="n"/>
    </row>
    <row r="558">
      <c r="S558" s="55" t="n"/>
      <c r="T558" s="55" t="n"/>
      <c r="U558" s="55" t="n"/>
      <c r="V558" s="55" t="n"/>
      <c r="W558" s="55" t="n"/>
      <c r="X558" s="55" t="n"/>
      <c r="Y558" s="55" t="n"/>
    </row>
    <row r="559">
      <c r="S559" s="55" t="n"/>
      <c r="T559" s="55" t="n"/>
      <c r="U559" s="55" t="n"/>
      <c r="V559" s="55" t="n"/>
      <c r="W559" s="55" t="n"/>
      <c r="X559" s="55" t="n"/>
      <c r="Y559" s="55" t="n"/>
    </row>
    <row r="560">
      <c r="S560" s="55" t="n"/>
      <c r="T560" s="55" t="n"/>
      <c r="U560" s="55" t="n"/>
      <c r="V560" s="55" t="n"/>
      <c r="W560" s="55" t="n"/>
      <c r="X560" s="55" t="n"/>
      <c r="Y560" s="55" t="n"/>
    </row>
    <row r="561">
      <c r="S561" s="55" t="n"/>
      <c r="T561" s="55" t="n"/>
      <c r="U561" s="55" t="n"/>
      <c r="V561" s="55" t="n"/>
      <c r="W561" s="55" t="n"/>
      <c r="X561" s="55" t="n"/>
      <c r="Y561" s="55" t="n"/>
    </row>
    <row r="562">
      <c r="S562" s="55" t="n"/>
      <c r="T562" s="55" t="n"/>
      <c r="U562" s="55" t="n"/>
      <c r="V562" s="55" t="n"/>
      <c r="W562" s="55" t="n"/>
      <c r="X562" s="55" t="n"/>
      <c r="Y562" s="55" t="n"/>
    </row>
    <row r="563">
      <c r="S563" s="55" t="n"/>
      <c r="T563" s="55" t="n"/>
      <c r="U563" s="55" t="n"/>
      <c r="V563" s="55" t="n"/>
      <c r="W563" s="55" t="n"/>
      <c r="X563" s="55" t="n"/>
      <c r="Y563" s="55" t="n"/>
    </row>
    <row r="564">
      <c r="S564" s="55" t="n"/>
      <c r="T564" s="55" t="n"/>
      <c r="U564" s="55" t="n"/>
      <c r="V564" s="55" t="n"/>
      <c r="W564" s="55" t="n"/>
      <c r="X564" s="55" t="n"/>
      <c r="Y564" s="55" t="n"/>
    </row>
    <row r="565">
      <c r="S565" s="55" t="n"/>
      <c r="T565" s="55" t="n"/>
      <c r="U565" s="55" t="n"/>
      <c r="V565" s="55" t="n"/>
      <c r="W565" s="55" t="n"/>
      <c r="X565" s="55" t="n"/>
      <c r="Y565" s="55" t="n"/>
    </row>
    <row r="566">
      <c r="S566" s="55" t="n"/>
      <c r="T566" s="55" t="n"/>
      <c r="U566" s="55" t="n"/>
      <c r="V566" s="55" t="n"/>
      <c r="W566" s="55" t="n"/>
      <c r="X566" s="55" t="n"/>
      <c r="Y566" s="55" t="n"/>
    </row>
    <row r="567">
      <c r="S567" s="55" t="n"/>
      <c r="T567" s="55" t="n"/>
      <c r="U567" s="55" t="n"/>
      <c r="V567" s="55" t="n"/>
      <c r="W567" s="55" t="n"/>
      <c r="X567" s="55" t="n"/>
      <c r="Y567" s="55" t="n"/>
    </row>
    <row r="568">
      <c r="S568" s="55" t="n"/>
      <c r="T568" s="55" t="n"/>
      <c r="U568" s="55" t="n"/>
      <c r="V568" s="55" t="n"/>
      <c r="W568" s="55" t="n"/>
      <c r="X568" s="55" t="n"/>
      <c r="Y568" s="55" t="n"/>
    </row>
    <row r="569">
      <c r="S569" s="55" t="n"/>
      <c r="T569" s="55" t="n"/>
      <c r="U569" s="55" t="n"/>
      <c r="V569" s="55" t="n"/>
      <c r="W569" s="55" t="n"/>
      <c r="X569" s="55" t="n"/>
      <c r="Y569" s="55" t="n"/>
    </row>
    <row r="570">
      <c r="S570" s="55" t="n"/>
      <c r="T570" s="55" t="n"/>
      <c r="U570" s="55" t="n"/>
      <c r="V570" s="55" t="n"/>
      <c r="W570" s="55" t="n"/>
      <c r="X570" s="55" t="n"/>
      <c r="Y570" s="55" t="n"/>
    </row>
    <row r="571">
      <c r="S571" s="55" t="n"/>
      <c r="T571" s="55" t="n"/>
      <c r="U571" s="55" t="n"/>
      <c r="V571" s="55" t="n"/>
      <c r="W571" s="55" t="n"/>
      <c r="X571" s="55" t="n"/>
      <c r="Y571" s="55" t="n"/>
    </row>
    <row r="572">
      <c r="S572" s="55" t="n"/>
      <c r="T572" s="55" t="n"/>
      <c r="U572" s="55" t="n"/>
      <c r="V572" s="55" t="n"/>
      <c r="W572" s="55" t="n"/>
      <c r="X572" s="55" t="n"/>
      <c r="Y572" s="55" t="n"/>
    </row>
    <row r="573">
      <c r="S573" s="55" t="n"/>
      <c r="T573" s="55" t="n"/>
      <c r="U573" s="55" t="n"/>
      <c r="V573" s="55" t="n"/>
      <c r="W573" s="55" t="n"/>
      <c r="X573" s="55" t="n"/>
      <c r="Y573" s="55" t="n"/>
    </row>
    <row r="574">
      <c r="S574" s="55" t="n"/>
      <c r="T574" s="55" t="n"/>
      <c r="U574" s="55" t="n"/>
      <c r="V574" s="55" t="n"/>
      <c r="W574" s="55" t="n"/>
      <c r="X574" s="55" t="n"/>
      <c r="Y574" s="55" t="n"/>
    </row>
    <row r="575">
      <c r="S575" s="55" t="n"/>
      <c r="T575" s="55" t="n"/>
      <c r="U575" s="55" t="n"/>
      <c r="V575" s="55" t="n"/>
      <c r="W575" s="55" t="n"/>
      <c r="X575" s="55" t="n"/>
      <c r="Y575" s="55" t="n"/>
    </row>
    <row r="576">
      <c r="S576" s="55" t="n"/>
      <c r="T576" s="55" t="n"/>
      <c r="U576" s="55" t="n"/>
      <c r="V576" s="55" t="n"/>
      <c r="W576" s="55" t="n"/>
      <c r="X576" s="55" t="n"/>
      <c r="Y576" s="55" t="n"/>
    </row>
    <row r="577">
      <c r="S577" s="55" t="n"/>
      <c r="T577" s="55" t="n"/>
      <c r="U577" s="55" t="n"/>
      <c r="V577" s="55" t="n"/>
      <c r="W577" s="55" t="n"/>
      <c r="X577" s="55" t="n"/>
      <c r="Y577" s="55" t="n"/>
    </row>
    <row r="578">
      <c r="S578" s="55" t="n"/>
      <c r="T578" s="55" t="n"/>
      <c r="U578" s="55" t="n"/>
      <c r="V578" s="55" t="n"/>
      <c r="W578" s="55" t="n"/>
      <c r="X578" s="55" t="n"/>
      <c r="Y578" s="55" t="n"/>
    </row>
    <row r="579">
      <c r="S579" s="55" t="n"/>
      <c r="T579" s="55" t="n"/>
      <c r="U579" s="55" t="n"/>
      <c r="V579" s="55" t="n"/>
      <c r="W579" s="55" t="n"/>
      <c r="X579" s="55" t="n"/>
      <c r="Y579" s="55" t="n"/>
    </row>
    <row r="580">
      <c r="S580" s="55" t="n"/>
      <c r="T580" s="55" t="n"/>
      <c r="U580" s="55" t="n"/>
      <c r="V580" s="55" t="n"/>
      <c r="W580" s="55" t="n"/>
      <c r="X580" s="55" t="n"/>
      <c r="Y580" s="55" t="n"/>
    </row>
    <row r="581">
      <c r="S581" s="55" t="n"/>
      <c r="T581" s="55" t="n"/>
      <c r="U581" s="55" t="n"/>
      <c r="V581" s="55" t="n"/>
      <c r="W581" s="55" t="n"/>
      <c r="X581" s="55" t="n"/>
      <c r="Y581" s="55" t="n"/>
    </row>
    <row r="582">
      <c r="S582" s="55" t="n"/>
      <c r="T582" s="55" t="n"/>
      <c r="U582" s="55" t="n"/>
      <c r="V582" s="55" t="n"/>
      <c r="W582" s="55" t="n"/>
      <c r="X582" s="55" t="n"/>
      <c r="Y582" s="55" t="n"/>
    </row>
    <row r="583">
      <c r="S583" s="55" t="n"/>
      <c r="T583" s="55" t="n"/>
      <c r="U583" s="55" t="n"/>
      <c r="V583" s="55" t="n"/>
      <c r="W583" s="55" t="n"/>
      <c r="X583" s="55" t="n"/>
      <c r="Y583" s="55" t="n"/>
    </row>
    <row r="584">
      <c r="S584" s="55" t="n"/>
      <c r="T584" s="55" t="n"/>
      <c r="U584" s="55" t="n"/>
      <c r="V584" s="55" t="n"/>
      <c r="W584" s="55" t="n"/>
      <c r="X584" s="55" t="n"/>
      <c r="Y584" s="55" t="n"/>
    </row>
    <row r="585">
      <c r="S585" s="55" t="n"/>
      <c r="T585" s="55" t="n"/>
      <c r="U585" s="55" t="n"/>
      <c r="V585" s="55" t="n"/>
      <c r="W585" s="55" t="n"/>
      <c r="X585" s="55" t="n"/>
      <c r="Y585" s="55" t="n"/>
    </row>
    <row r="586">
      <c r="S586" s="55" t="n"/>
      <c r="T586" s="55" t="n"/>
      <c r="U586" s="55" t="n"/>
      <c r="V586" s="55" t="n"/>
      <c r="W586" s="55" t="n"/>
      <c r="X586" s="55" t="n"/>
      <c r="Y586" s="55" t="n"/>
    </row>
    <row r="587">
      <c r="S587" s="55" t="n"/>
      <c r="T587" s="55" t="n"/>
      <c r="U587" s="55" t="n"/>
      <c r="V587" s="55" t="n"/>
      <c r="W587" s="55" t="n"/>
      <c r="X587" s="55" t="n"/>
      <c r="Y587" s="55" t="n"/>
    </row>
    <row r="588">
      <c r="S588" s="55" t="n"/>
      <c r="T588" s="55" t="n"/>
      <c r="U588" s="55" t="n"/>
      <c r="V588" s="55" t="n"/>
      <c r="W588" s="55" t="n"/>
      <c r="X588" s="55" t="n"/>
      <c r="Y588" s="55" t="n"/>
    </row>
    <row r="589">
      <c r="S589" s="55" t="n"/>
      <c r="T589" s="55" t="n"/>
      <c r="U589" s="55" t="n"/>
      <c r="V589" s="55" t="n"/>
      <c r="W589" s="55" t="n"/>
      <c r="X589" s="55" t="n"/>
      <c r="Y589" s="55" t="n"/>
    </row>
    <row r="590">
      <c r="S590" s="55" t="n"/>
      <c r="T590" s="55" t="n"/>
      <c r="U590" s="55" t="n"/>
      <c r="V590" s="55" t="n"/>
      <c r="W590" s="55" t="n"/>
      <c r="X590" s="55" t="n"/>
      <c r="Y590" s="55" t="n"/>
    </row>
    <row r="591">
      <c r="S591" s="55" t="n"/>
      <c r="T591" s="55" t="n"/>
      <c r="U591" s="55" t="n"/>
      <c r="V591" s="55" t="n"/>
      <c r="W591" s="55" t="n"/>
      <c r="X591" s="55" t="n"/>
      <c r="Y591" s="55" t="n"/>
    </row>
    <row r="592">
      <c r="S592" s="55" t="n"/>
      <c r="T592" s="55" t="n"/>
      <c r="U592" s="55" t="n"/>
      <c r="V592" s="55" t="n"/>
      <c r="W592" s="55" t="n"/>
      <c r="X592" s="55" t="n"/>
      <c r="Y592" s="55" t="n"/>
    </row>
    <row r="593">
      <c r="S593" s="55" t="n"/>
      <c r="T593" s="55" t="n"/>
      <c r="U593" s="55" t="n"/>
      <c r="V593" s="55" t="n"/>
      <c r="W593" s="55" t="n"/>
      <c r="X593" s="55" t="n"/>
      <c r="Y593" s="55" t="n"/>
    </row>
    <row r="594">
      <c r="S594" s="55" t="n"/>
      <c r="T594" s="55" t="n"/>
      <c r="U594" s="55" t="n"/>
      <c r="V594" s="55" t="n"/>
      <c r="W594" s="55" t="n"/>
      <c r="X594" s="55" t="n"/>
      <c r="Y594" s="55" t="n"/>
    </row>
    <row r="595">
      <c r="S595" s="55" t="n"/>
      <c r="T595" s="55" t="n"/>
      <c r="U595" s="55" t="n"/>
      <c r="V595" s="55" t="n"/>
      <c r="W595" s="55" t="n"/>
      <c r="X595" s="55" t="n"/>
      <c r="Y595" s="55" t="n"/>
    </row>
    <row r="596">
      <c r="S596" s="55" t="n"/>
      <c r="T596" s="55" t="n"/>
      <c r="U596" s="55" t="n"/>
      <c r="V596" s="55" t="n"/>
      <c r="W596" s="55" t="n"/>
      <c r="X596" s="55" t="n"/>
      <c r="Y596" s="55" t="n"/>
    </row>
    <row r="597">
      <c r="S597" s="55" t="n"/>
      <c r="T597" s="55" t="n"/>
      <c r="U597" s="55" t="n"/>
      <c r="V597" s="55" t="n"/>
      <c r="W597" s="55" t="n"/>
      <c r="X597" s="55" t="n"/>
      <c r="Y597" s="55" t="n"/>
    </row>
    <row r="598">
      <c r="S598" s="55" t="n"/>
      <c r="T598" s="55" t="n"/>
      <c r="U598" s="55" t="n"/>
      <c r="V598" s="55" t="n"/>
      <c r="W598" s="55" t="n"/>
      <c r="X598" s="55" t="n"/>
      <c r="Y598" s="55" t="n"/>
    </row>
    <row r="599">
      <c r="S599" s="55" t="n"/>
      <c r="T599" s="55" t="n"/>
      <c r="U599" s="55" t="n"/>
      <c r="V599" s="55" t="n"/>
      <c r="W599" s="55" t="n"/>
      <c r="X599" s="55" t="n"/>
      <c r="Y599" s="55" t="n"/>
    </row>
    <row r="600">
      <c r="S600" s="55" t="n"/>
      <c r="T600" s="55" t="n"/>
      <c r="U600" s="55" t="n"/>
      <c r="V600" s="55" t="n"/>
      <c r="W600" s="55" t="n"/>
      <c r="X600" s="55" t="n"/>
      <c r="Y600" s="55" t="n"/>
    </row>
    <row r="601">
      <c r="S601" s="55" t="n"/>
      <c r="T601" s="55" t="n"/>
      <c r="U601" s="55" t="n"/>
      <c r="V601" s="55" t="n"/>
      <c r="W601" s="55" t="n"/>
      <c r="X601" s="55" t="n"/>
      <c r="Y601" s="55" t="n"/>
    </row>
    <row r="602">
      <c r="S602" s="55" t="n"/>
      <c r="T602" s="55" t="n"/>
      <c r="U602" s="55" t="n"/>
      <c r="V602" s="55" t="n"/>
      <c r="W602" s="55" t="n"/>
      <c r="X602" s="55" t="n"/>
      <c r="Y602" s="55" t="n"/>
    </row>
    <row r="603">
      <c r="S603" s="55" t="n"/>
      <c r="T603" s="55" t="n"/>
      <c r="U603" s="55" t="n"/>
      <c r="V603" s="55" t="n"/>
      <c r="W603" s="55" t="n"/>
      <c r="X603" s="55" t="n"/>
      <c r="Y603" s="55" t="n"/>
    </row>
    <row r="604">
      <c r="S604" s="55" t="n"/>
      <c r="T604" s="55" t="n"/>
      <c r="U604" s="55" t="n"/>
      <c r="V604" s="55" t="n"/>
      <c r="W604" s="55" t="n"/>
      <c r="X604" s="55" t="n"/>
      <c r="Y604" s="55" t="n"/>
    </row>
    <row r="605">
      <c r="S605" s="55" t="n"/>
      <c r="T605" s="55" t="n"/>
      <c r="U605" s="55" t="n"/>
      <c r="V605" s="55" t="n"/>
      <c r="W605" s="55" t="n"/>
      <c r="X605" s="55" t="n"/>
      <c r="Y605" s="55" t="n"/>
    </row>
    <row r="606">
      <c r="S606" s="55" t="n"/>
      <c r="T606" s="55" t="n"/>
      <c r="U606" s="55" t="n"/>
      <c r="V606" s="55" t="n"/>
      <c r="W606" s="55" t="n"/>
      <c r="X606" s="55" t="n"/>
      <c r="Y606" s="55" t="n"/>
    </row>
    <row r="607">
      <c r="S607" s="55" t="n"/>
      <c r="T607" s="55" t="n"/>
      <c r="U607" s="55" t="n"/>
      <c r="V607" s="55" t="n"/>
      <c r="W607" s="55" t="n"/>
      <c r="X607" s="55" t="n"/>
      <c r="Y607" s="55" t="n"/>
    </row>
    <row r="608">
      <c r="S608" s="55" t="n"/>
      <c r="T608" s="55" t="n"/>
      <c r="U608" s="55" t="n"/>
      <c r="V608" s="55" t="n"/>
      <c r="W608" s="55" t="n"/>
      <c r="X608" s="55" t="n"/>
      <c r="Y608" s="55" t="n"/>
    </row>
    <row r="609">
      <c r="S609" s="55" t="n"/>
      <c r="T609" s="55" t="n"/>
      <c r="U609" s="55" t="n"/>
      <c r="V609" s="55" t="n"/>
      <c r="W609" s="55" t="n"/>
      <c r="X609" s="55" t="n"/>
      <c r="Y609" s="55" t="n"/>
    </row>
    <row r="610">
      <c r="S610" s="55" t="n"/>
      <c r="T610" s="55" t="n"/>
      <c r="U610" s="55" t="n"/>
      <c r="V610" s="55" t="n"/>
      <c r="W610" s="55" t="n"/>
      <c r="X610" s="55" t="n"/>
      <c r="Y610" s="55" t="n"/>
    </row>
    <row r="611">
      <c r="S611" s="55" t="n"/>
      <c r="T611" s="55" t="n"/>
      <c r="U611" s="55" t="n"/>
      <c r="V611" s="55" t="n"/>
      <c r="W611" s="55" t="n"/>
      <c r="X611" s="55" t="n"/>
      <c r="Y611" s="55" t="n"/>
    </row>
    <row r="612">
      <c r="S612" s="55" t="n"/>
      <c r="T612" s="55" t="n"/>
      <c r="U612" s="55" t="n"/>
      <c r="V612" s="55" t="n"/>
      <c r="W612" s="55" t="n"/>
      <c r="X612" s="55" t="n"/>
      <c r="Y612" s="55" t="n"/>
    </row>
    <row r="613">
      <c r="S613" s="55" t="n"/>
      <c r="T613" s="55" t="n"/>
      <c r="U613" s="55" t="n"/>
      <c r="V613" s="55" t="n"/>
      <c r="W613" s="55" t="n"/>
      <c r="X613" s="55" t="n"/>
      <c r="Y613" s="55" t="n"/>
    </row>
    <row r="614">
      <c r="S614" s="55" t="n"/>
      <c r="T614" s="55" t="n"/>
      <c r="U614" s="55" t="n"/>
      <c r="V614" s="55" t="n"/>
      <c r="W614" s="55" t="n"/>
      <c r="X614" s="55" t="n"/>
      <c r="Y614" s="55" t="n"/>
    </row>
    <row r="615">
      <c r="S615" s="55" t="n"/>
      <c r="T615" s="55" t="n"/>
      <c r="U615" s="55" t="n"/>
      <c r="V615" s="55" t="n"/>
      <c r="W615" s="55" t="n"/>
      <c r="X615" s="55" t="n"/>
      <c r="Y615" s="55" t="n"/>
    </row>
    <row r="616">
      <c r="S616" s="55" t="n"/>
      <c r="T616" s="55" t="n"/>
      <c r="U616" s="55" t="n"/>
      <c r="V616" s="55" t="n"/>
      <c r="W616" s="55" t="n"/>
      <c r="X616" s="55" t="n"/>
      <c r="Y616" s="55" t="n"/>
    </row>
    <row r="617">
      <c r="S617" s="55" t="n"/>
      <c r="T617" s="55" t="n"/>
      <c r="U617" s="55" t="n"/>
      <c r="V617" s="55" t="n"/>
      <c r="W617" s="55" t="n"/>
      <c r="X617" s="55" t="n"/>
      <c r="Y617" s="55" t="n"/>
    </row>
    <row r="618">
      <c r="S618" s="55" t="n"/>
      <c r="T618" s="55" t="n"/>
      <c r="U618" s="55" t="n"/>
      <c r="V618" s="55" t="n"/>
      <c r="W618" s="55" t="n"/>
      <c r="X618" s="55" t="n"/>
      <c r="Y618" s="55" t="n"/>
    </row>
    <row r="619">
      <c r="S619" s="55" t="n"/>
      <c r="T619" s="55" t="n"/>
      <c r="U619" s="55" t="n"/>
      <c r="V619" s="55" t="n"/>
      <c r="W619" s="55" t="n"/>
      <c r="X619" s="55" t="n"/>
      <c r="Y619" s="55" t="n"/>
    </row>
    <row r="620">
      <c r="S620" s="55" t="n"/>
      <c r="T620" s="55" t="n"/>
      <c r="U620" s="55" t="n"/>
      <c r="V620" s="55" t="n"/>
      <c r="W620" s="55" t="n"/>
      <c r="X620" s="55" t="n"/>
      <c r="Y620" s="55" t="n"/>
    </row>
    <row r="621">
      <c r="S621" s="55" t="n"/>
      <c r="T621" s="55" t="n"/>
      <c r="U621" s="55" t="n"/>
      <c r="V621" s="55" t="n"/>
      <c r="W621" s="55" t="n"/>
      <c r="X621" s="55" t="n"/>
      <c r="Y621" s="55" t="n"/>
    </row>
    <row r="622">
      <c r="S622" s="55" t="n"/>
      <c r="T622" s="55" t="n"/>
      <c r="U622" s="55" t="n"/>
      <c r="V622" s="55" t="n"/>
      <c r="W622" s="55" t="n"/>
      <c r="X622" s="55" t="n"/>
      <c r="Y622" s="55" t="n"/>
    </row>
    <row r="623">
      <c r="S623" s="55" t="n"/>
      <c r="T623" s="55" t="n"/>
      <c r="U623" s="55" t="n"/>
      <c r="V623" s="55" t="n"/>
      <c r="W623" s="55" t="n"/>
      <c r="X623" s="55" t="n"/>
      <c r="Y623" s="55" t="n"/>
    </row>
    <row r="624">
      <c r="S624" s="55" t="n"/>
      <c r="T624" s="55" t="n"/>
      <c r="U624" s="55" t="n"/>
      <c r="V624" s="55" t="n"/>
      <c r="W624" s="55" t="n"/>
      <c r="X624" s="55" t="n"/>
      <c r="Y624" s="55" t="n"/>
    </row>
    <row r="625">
      <c r="S625" s="55" t="n"/>
      <c r="T625" s="55" t="n"/>
      <c r="U625" s="55" t="n"/>
      <c r="V625" s="55" t="n"/>
      <c r="W625" s="55" t="n"/>
      <c r="X625" s="55" t="n"/>
      <c r="Y625" s="55" t="n"/>
    </row>
    <row r="626">
      <c r="S626" s="55" t="n"/>
      <c r="T626" s="55" t="n"/>
      <c r="U626" s="55" t="n"/>
      <c r="V626" s="55" t="n"/>
      <c r="W626" s="55" t="n"/>
      <c r="X626" s="55" t="n"/>
      <c r="Y626" s="55" t="n"/>
    </row>
    <row r="627">
      <c r="S627" s="55" t="n"/>
      <c r="T627" s="55" t="n"/>
      <c r="U627" s="55" t="n"/>
      <c r="V627" s="55" t="n"/>
      <c r="W627" s="55" t="n"/>
      <c r="X627" s="55" t="n"/>
      <c r="Y627" s="55" t="n"/>
    </row>
    <row r="628">
      <c r="S628" s="55" t="n"/>
      <c r="T628" s="55" t="n"/>
      <c r="U628" s="55" t="n"/>
      <c r="V628" s="55" t="n"/>
      <c r="W628" s="55" t="n"/>
      <c r="X628" s="55" t="n"/>
      <c r="Y628" s="55" t="n"/>
    </row>
    <row r="629">
      <c r="S629" s="55" t="n"/>
      <c r="T629" s="55" t="n"/>
      <c r="U629" s="55" t="n"/>
      <c r="V629" s="55" t="n"/>
      <c r="W629" s="55" t="n"/>
      <c r="X629" s="55" t="n"/>
      <c r="Y629" s="55" t="n"/>
    </row>
    <row r="630">
      <c r="S630" s="55" t="n"/>
      <c r="T630" s="55" t="n"/>
      <c r="U630" s="55" t="n"/>
      <c r="V630" s="55" t="n"/>
      <c r="W630" s="55" t="n"/>
      <c r="X630" s="55" t="n"/>
      <c r="Y630" s="55" t="n"/>
    </row>
    <row r="631">
      <c r="S631" s="55" t="n"/>
      <c r="T631" s="55" t="n"/>
      <c r="U631" s="55" t="n"/>
      <c r="V631" s="55" t="n"/>
      <c r="W631" s="55" t="n"/>
      <c r="X631" s="55" t="n"/>
      <c r="Y631" s="55" t="n"/>
    </row>
    <row r="632">
      <c r="S632" s="55" t="n"/>
      <c r="T632" s="55" t="n"/>
      <c r="U632" s="55" t="n"/>
      <c r="V632" s="55" t="n"/>
      <c r="W632" s="55" t="n"/>
      <c r="X632" s="55" t="n"/>
      <c r="Y632" s="55" t="n"/>
    </row>
    <row r="633">
      <c r="S633" s="55" t="n"/>
      <c r="T633" s="55" t="n"/>
      <c r="U633" s="55" t="n"/>
      <c r="V633" s="55" t="n"/>
      <c r="W633" s="55" t="n"/>
      <c r="X633" s="55" t="n"/>
      <c r="Y633" s="55" t="n"/>
    </row>
    <row r="634">
      <c r="S634" s="55" t="n"/>
      <c r="T634" s="55" t="n"/>
      <c r="U634" s="55" t="n"/>
      <c r="V634" s="55" t="n"/>
      <c r="W634" s="55" t="n"/>
      <c r="X634" s="55" t="n"/>
      <c r="Y634" s="55" t="n"/>
    </row>
    <row r="635">
      <c r="S635" s="55" t="n"/>
      <c r="T635" s="55" t="n"/>
      <c r="U635" s="55" t="n"/>
      <c r="V635" s="55" t="n"/>
      <c r="W635" s="55" t="n"/>
      <c r="X635" s="55" t="n"/>
      <c r="Y635" s="55" t="n"/>
    </row>
    <row r="636">
      <c r="S636" s="55" t="n"/>
      <c r="T636" s="55" t="n"/>
      <c r="U636" s="55" t="n"/>
      <c r="V636" s="55" t="n"/>
      <c r="W636" s="55" t="n"/>
      <c r="X636" s="55" t="n"/>
      <c r="Y636" s="55" t="n"/>
    </row>
    <row r="637">
      <c r="S637" s="55" t="n"/>
      <c r="T637" s="55" t="n"/>
      <c r="U637" s="55" t="n"/>
      <c r="V637" s="55" t="n"/>
      <c r="W637" s="55" t="n"/>
      <c r="X637" s="55" t="n"/>
      <c r="Y637" s="55" t="n"/>
    </row>
    <row r="638">
      <c r="S638" s="55" t="n"/>
      <c r="T638" s="55" t="n"/>
      <c r="U638" s="55" t="n"/>
      <c r="V638" s="55" t="n"/>
      <c r="W638" s="55" t="n"/>
      <c r="X638" s="55" t="n"/>
      <c r="Y638" s="55" t="n"/>
    </row>
    <row r="639">
      <c r="S639" s="55" t="n"/>
      <c r="T639" s="55" t="n"/>
      <c r="U639" s="55" t="n"/>
      <c r="V639" s="55" t="n"/>
      <c r="W639" s="55" t="n"/>
      <c r="X639" s="55" t="n"/>
      <c r="Y639" s="55" t="n"/>
    </row>
    <row r="640">
      <c r="S640" s="55" t="n"/>
      <c r="T640" s="55" t="n"/>
      <c r="U640" s="55" t="n"/>
      <c r="V640" s="55" t="n"/>
      <c r="W640" s="55" t="n"/>
      <c r="X640" s="55" t="n"/>
      <c r="Y640" s="55" t="n"/>
    </row>
    <row r="641">
      <c r="S641" s="55" t="n"/>
      <c r="T641" s="55" t="n"/>
      <c r="U641" s="55" t="n"/>
      <c r="V641" s="55" t="n"/>
      <c r="W641" s="55" t="n"/>
      <c r="X641" s="55" t="n"/>
      <c r="Y641" s="55" t="n"/>
    </row>
    <row r="642">
      <c r="S642" s="55" t="n"/>
      <c r="T642" s="55" t="n"/>
      <c r="U642" s="55" t="n"/>
      <c r="V642" s="55" t="n"/>
      <c r="W642" s="55" t="n"/>
      <c r="X642" s="55" t="n"/>
      <c r="Y642" s="55" t="n"/>
    </row>
    <row r="643">
      <c r="S643" s="55" t="n"/>
      <c r="T643" s="55" t="n"/>
      <c r="U643" s="55" t="n"/>
      <c r="V643" s="55" t="n"/>
      <c r="W643" s="55" t="n"/>
      <c r="X643" s="55" t="n"/>
      <c r="Y643" s="55" t="n"/>
    </row>
    <row r="644">
      <c r="S644" s="55" t="n"/>
      <c r="T644" s="55" t="n"/>
      <c r="U644" s="55" t="n"/>
      <c r="V644" s="55" t="n"/>
      <c r="W644" s="55" t="n"/>
      <c r="X644" s="55" t="n"/>
      <c r="Y644" s="55" t="n"/>
    </row>
    <row r="645">
      <c r="S645" s="55" t="n"/>
      <c r="T645" s="55" t="n"/>
      <c r="U645" s="55" t="n"/>
      <c r="V645" s="55" t="n"/>
      <c r="W645" s="55" t="n"/>
      <c r="X645" s="55" t="n"/>
      <c r="Y645" s="55" t="n"/>
    </row>
    <row r="646">
      <c r="S646" s="55" t="n"/>
      <c r="T646" s="55" t="n"/>
      <c r="U646" s="55" t="n"/>
      <c r="V646" s="55" t="n"/>
      <c r="W646" s="55" t="n"/>
      <c r="X646" s="55" t="n"/>
      <c r="Y646" s="55" t="n"/>
    </row>
    <row r="647">
      <c r="S647" s="55" t="n"/>
      <c r="T647" s="55" t="n"/>
      <c r="U647" s="55" t="n"/>
      <c r="V647" s="55" t="n"/>
      <c r="W647" s="55" t="n"/>
      <c r="X647" s="55" t="n"/>
      <c r="Y647" s="55" t="n"/>
    </row>
    <row r="648">
      <c r="S648" s="55" t="n"/>
      <c r="T648" s="55" t="n"/>
      <c r="U648" s="55" t="n"/>
      <c r="V648" s="55" t="n"/>
      <c r="W648" s="55" t="n"/>
      <c r="X648" s="55" t="n"/>
      <c r="Y648" s="55" t="n"/>
    </row>
    <row r="649">
      <c r="S649" s="55" t="n"/>
      <c r="T649" s="55" t="n"/>
      <c r="U649" s="55" t="n"/>
      <c r="V649" s="55" t="n"/>
      <c r="W649" s="55" t="n"/>
      <c r="X649" s="55" t="n"/>
      <c r="Y649" s="55" t="n"/>
    </row>
    <row r="650">
      <c r="S650" s="55" t="n"/>
      <c r="T650" s="55" t="n"/>
      <c r="U650" s="55" t="n"/>
      <c r="V650" s="55" t="n"/>
      <c r="W650" s="55" t="n"/>
      <c r="X650" s="55" t="n"/>
      <c r="Y650" s="55" t="n"/>
    </row>
    <row r="651">
      <c r="S651" s="55" t="n"/>
      <c r="T651" s="55" t="n"/>
      <c r="U651" s="55" t="n"/>
      <c r="V651" s="55" t="n"/>
      <c r="W651" s="55" t="n"/>
      <c r="X651" s="55" t="n"/>
      <c r="Y651" s="55" t="n"/>
    </row>
    <row r="652">
      <c r="S652" s="55" t="n"/>
      <c r="T652" s="55" t="n"/>
      <c r="U652" s="55" t="n"/>
      <c r="V652" s="55" t="n"/>
      <c r="W652" s="55" t="n"/>
      <c r="X652" s="55" t="n"/>
      <c r="Y652" s="55" t="n"/>
    </row>
    <row r="653">
      <c r="S653" s="55" t="n"/>
      <c r="T653" s="55" t="n"/>
      <c r="U653" s="55" t="n"/>
      <c r="V653" s="55" t="n"/>
      <c r="W653" s="55" t="n"/>
      <c r="X653" s="55" t="n"/>
      <c r="Y653" s="55" t="n"/>
    </row>
    <row r="654">
      <c r="S654" s="55" t="n"/>
      <c r="T654" s="55" t="n"/>
      <c r="U654" s="55" t="n"/>
      <c r="V654" s="55" t="n"/>
      <c r="W654" s="55" t="n"/>
      <c r="X654" s="55" t="n"/>
      <c r="Y654" s="55" t="n"/>
    </row>
    <row r="655">
      <c r="S655" s="55" t="n"/>
      <c r="T655" s="55" t="n"/>
      <c r="U655" s="55" t="n"/>
      <c r="V655" s="55" t="n"/>
      <c r="W655" s="55" t="n"/>
      <c r="X655" s="55" t="n"/>
      <c r="Y655" s="55" t="n"/>
    </row>
    <row r="656">
      <c r="S656" s="55" t="n"/>
      <c r="T656" s="55" t="n"/>
      <c r="U656" s="55" t="n"/>
      <c r="V656" s="55" t="n"/>
      <c r="W656" s="55" t="n"/>
      <c r="X656" s="55" t="n"/>
      <c r="Y656" s="55" t="n"/>
    </row>
    <row r="657">
      <c r="S657" s="55" t="n"/>
      <c r="T657" s="55" t="n"/>
      <c r="U657" s="55" t="n"/>
      <c r="V657" s="55" t="n"/>
      <c r="W657" s="55" t="n"/>
      <c r="X657" s="55" t="n"/>
      <c r="Y657" s="55" t="n"/>
    </row>
    <row r="658">
      <c r="S658" s="55" t="n"/>
      <c r="T658" s="55" t="n"/>
      <c r="U658" s="55" t="n"/>
      <c r="V658" s="55" t="n"/>
      <c r="W658" s="55" t="n"/>
      <c r="X658" s="55" t="n"/>
      <c r="Y658" s="55" t="n"/>
    </row>
    <row r="659">
      <c r="S659" s="55" t="n"/>
      <c r="T659" s="55" t="n"/>
      <c r="U659" s="55" t="n"/>
      <c r="V659" s="55" t="n"/>
      <c r="W659" s="55" t="n"/>
      <c r="X659" s="55" t="n"/>
      <c r="Y659" s="55" t="n"/>
    </row>
    <row r="660">
      <c r="S660" s="55" t="n"/>
      <c r="T660" s="55" t="n"/>
      <c r="U660" s="55" t="n"/>
      <c r="V660" s="55" t="n"/>
      <c r="W660" s="55" t="n"/>
      <c r="X660" s="55" t="n"/>
      <c r="Y660" s="55" t="n"/>
    </row>
    <row r="661">
      <c r="S661" s="55" t="n"/>
      <c r="T661" s="55" t="n"/>
      <c r="U661" s="55" t="n"/>
      <c r="V661" s="55" t="n"/>
      <c r="W661" s="55" t="n"/>
      <c r="X661" s="55" t="n"/>
      <c r="Y661" s="55" t="n"/>
    </row>
    <row r="662">
      <c r="S662" s="55" t="n"/>
      <c r="T662" s="55" t="n"/>
      <c r="U662" s="55" t="n"/>
      <c r="V662" s="55" t="n"/>
      <c r="W662" s="55" t="n"/>
      <c r="X662" s="55" t="n"/>
      <c r="Y662" s="55" t="n"/>
    </row>
    <row r="663">
      <c r="S663" s="55" t="n"/>
      <c r="T663" s="55" t="n"/>
      <c r="U663" s="55" t="n"/>
      <c r="V663" s="55" t="n"/>
      <c r="W663" s="55" t="n"/>
      <c r="X663" s="55" t="n"/>
      <c r="Y663" s="55" t="n"/>
    </row>
    <row r="664">
      <c r="S664" s="55" t="n"/>
      <c r="T664" s="55" t="n"/>
      <c r="U664" s="55" t="n"/>
      <c r="V664" s="55" t="n"/>
      <c r="W664" s="55" t="n"/>
      <c r="X664" s="55" t="n"/>
      <c r="Y664" s="55" t="n"/>
    </row>
    <row r="665">
      <c r="S665" s="55" t="n"/>
      <c r="T665" s="55" t="n"/>
      <c r="U665" s="55" t="n"/>
      <c r="V665" s="55" t="n"/>
      <c r="W665" s="55" t="n"/>
      <c r="X665" s="55" t="n"/>
      <c r="Y665" s="55" t="n"/>
    </row>
    <row r="666">
      <c r="S666" s="55" t="n"/>
      <c r="T666" s="55" t="n"/>
      <c r="U666" s="55" t="n"/>
      <c r="V666" s="55" t="n"/>
      <c r="W666" s="55" t="n"/>
      <c r="X666" s="55" t="n"/>
      <c r="Y666" s="55" t="n"/>
    </row>
    <row r="667">
      <c r="S667" s="55" t="n"/>
      <c r="T667" s="55" t="n"/>
      <c r="U667" s="55" t="n"/>
      <c r="V667" s="55" t="n"/>
      <c r="W667" s="55" t="n"/>
      <c r="X667" s="55" t="n"/>
      <c r="Y667" s="55" t="n"/>
    </row>
    <row r="668">
      <c r="S668" s="55" t="n"/>
      <c r="T668" s="55" t="n"/>
      <c r="U668" s="55" t="n"/>
      <c r="V668" s="55" t="n"/>
      <c r="W668" s="55" t="n"/>
      <c r="X668" s="55" t="n"/>
      <c r="Y668" s="55" t="n"/>
    </row>
    <row r="669">
      <c r="S669" s="55" t="n"/>
      <c r="T669" s="55" t="n"/>
      <c r="U669" s="55" t="n"/>
      <c r="V669" s="55" t="n"/>
      <c r="W669" s="55" t="n"/>
      <c r="X669" s="55" t="n"/>
      <c r="Y669" s="55" t="n"/>
    </row>
    <row r="670">
      <c r="S670" s="55" t="n"/>
      <c r="T670" s="55" t="n"/>
      <c r="U670" s="55" t="n"/>
      <c r="V670" s="55" t="n"/>
      <c r="W670" s="55" t="n"/>
      <c r="X670" s="55" t="n"/>
      <c r="Y670" s="55" t="n"/>
    </row>
    <row r="671">
      <c r="S671" s="55" t="n"/>
      <c r="T671" s="55" t="n"/>
      <c r="U671" s="55" t="n"/>
      <c r="V671" s="55" t="n"/>
      <c r="W671" s="55" t="n"/>
      <c r="X671" s="55" t="n"/>
      <c r="Y671" s="55" t="n"/>
    </row>
    <row r="672">
      <c r="S672" s="55" t="n"/>
      <c r="T672" s="55" t="n"/>
      <c r="U672" s="55" t="n"/>
      <c r="V672" s="55" t="n"/>
      <c r="W672" s="55" t="n"/>
      <c r="X672" s="55" t="n"/>
      <c r="Y672" s="55" t="n"/>
    </row>
    <row r="673">
      <c r="S673" s="55" t="n"/>
      <c r="T673" s="55" t="n"/>
      <c r="U673" s="55" t="n"/>
      <c r="V673" s="55" t="n"/>
      <c r="W673" s="55" t="n"/>
      <c r="X673" s="55" t="n"/>
      <c r="Y673" s="55" t="n"/>
    </row>
    <row r="674">
      <c r="S674" s="55" t="n"/>
      <c r="T674" s="55" t="n"/>
      <c r="U674" s="55" t="n"/>
      <c r="V674" s="55" t="n"/>
      <c r="W674" s="55" t="n"/>
      <c r="X674" s="55" t="n"/>
      <c r="Y674" s="55" t="n"/>
    </row>
    <row r="675">
      <c r="S675" s="55" t="n"/>
      <c r="T675" s="55" t="n"/>
      <c r="U675" s="55" t="n"/>
      <c r="V675" s="55" t="n"/>
      <c r="W675" s="55" t="n"/>
      <c r="X675" s="55" t="n"/>
      <c r="Y675" s="55" t="n"/>
    </row>
    <row r="676">
      <c r="S676" s="55" t="n"/>
      <c r="T676" s="55" t="n"/>
      <c r="U676" s="55" t="n"/>
      <c r="V676" s="55" t="n"/>
      <c r="W676" s="55" t="n"/>
      <c r="X676" s="55" t="n"/>
      <c r="Y676" s="55" t="n"/>
    </row>
    <row r="677">
      <c r="S677" s="55" t="n"/>
      <c r="T677" s="55" t="n"/>
      <c r="U677" s="55" t="n"/>
      <c r="V677" s="55" t="n"/>
      <c r="W677" s="55" t="n"/>
      <c r="X677" s="55" t="n"/>
      <c r="Y677" s="55" t="n"/>
    </row>
    <row r="678">
      <c r="S678" s="55" t="n"/>
      <c r="T678" s="55" t="n"/>
      <c r="U678" s="55" t="n"/>
      <c r="V678" s="55" t="n"/>
      <c r="W678" s="55" t="n"/>
      <c r="X678" s="55" t="n"/>
      <c r="Y678" s="55" t="n"/>
    </row>
    <row r="679">
      <c r="S679" s="55" t="n"/>
      <c r="T679" s="55" t="n"/>
      <c r="U679" s="55" t="n"/>
      <c r="V679" s="55" t="n"/>
      <c r="W679" s="55" t="n"/>
      <c r="X679" s="55" t="n"/>
      <c r="Y679" s="55" t="n"/>
    </row>
    <row r="680">
      <c r="S680" s="55" t="n"/>
      <c r="T680" s="55" t="n"/>
      <c r="U680" s="55" t="n"/>
      <c r="V680" s="55" t="n"/>
      <c r="W680" s="55" t="n"/>
      <c r="X680" s="55" t="n"/>
      <c r="Y680" s="55" t="n"/>
    </row>
    <row r="681">
      <c r="S681" s="55" t="n"/>
      <c r="T681" s="55" t="n"/>
      <c r="U681" s="55" t="n"/>
      <c r="V681" s="55" t="n"/>
      <c r="W681" s="55" t="n"/>
      <c r="X681" s="55" t="n"/>
      <c r="Y681" s="55" t="n"/>
    </row>
    <row r="682">
      <c r="S682" s="55" t="n"/>
      <c r="T682" s="55" t="n"/>
      <c r="U682" s="55" t="n"/>
      <c r="V682" s="55" t="n"/>
      <c r="W682" s="55" t="n"/>
      <c r="X682" s="55" t="n"/>
      <c r="Y682" s="55" t="n"/>
    </row>
    <row r="683">
      <c r="S683" s="55" t="n"/>
      <c r="T683" s="55" t="n"/>
      <c r="U683" s="55" t="n"/>
      <c r="V683" s="55" t="n"/>
      <c r="W683" s="55" t="n"/>
      <c r="X683" s="55" t="n"/>
      <c r="Y683" s="55" t="n"/>
    </row>
    <row r="684">
      <c r="S684" s="55" t="n"/>
      <c r="T684" s="55" t="n"/>
      <c r="U684" s="55" t="n"/>
      <c r="V684" s="55" t="n"/>
      <c r="W684" s="55" t="n"/>
      <c r="X684" s="55" t="n"/>
      <c r="Y684" s="55" t="n"/>
    </row>
    <row r="685">
      <c r="S685" s="55" t="n"/>
      <c r="T685" s="55" t="n"/>
      <c r="U685" s="55" t="n"/>
      <c r="V685" s="55" t="n"/>
      <c r="W685" s="55" t="n"/>
      <c r="X685" s="55" t="n"/>
      <c r="Y685" s="55" t="n"/>
    </row>
    <row r="686">
      <c r="S686" s="55" t="n"/>
      <c r="T686" s="55" t="n"/>
      <c r="U686" s="55" t="n"/>
      <c r="V686" s="55" t="n"/>
      <c r="W686" s="55" t="n"/>
      <c r="X686" s="55" t="n"/>
      <c r="Y686" s="55" t="n"/>
    </row>
    <row r="687">
      <c r="S687" s="55" t="n"/>
      <c r="T687" s="55" t="n"/>
      <c r="U687" s="55" t="n"/>
      <c r="V687" s="55" t="n"/>
      <c r="W687" s="55" t="n"/>
      <c r="X687" s="55" t="n"/>
      <c r="Y687" s="55" t="n"/>
    </row>
    <row r="688">
      <c r="S688" s="55" t="n"/>
      <c r="T688" s="55" t="n"/>
      <c r="U688" s="55" t="n"/>
      <c r="V688" s="55" t="n"/>
      <c r="W688" s="55" t="n"/>
      <c r="X688" s="55" t="n"/>
      <c r="Y688" s="55" t="n"/>
    </row>
    <row r="689">
      <c r="S689" s="55" t="n"/>
      <c r="T689" s="55" t="n"/>
      <c r="U689" s="55" t="n"/>
      <c r="V689" s="55" t="n"/>
      <c r="W689" s="55" t="n"/>
      <c r="X689" s="55" t="n"/>
      <c r="Y689" s="55" t="n"/>
    </row>
    <row r="690">
      <c r="S690" s="55" t="n"/>
      <c r="T690" s="55" t="n"/>
      <c r="U690" s="55" t="n"/>
      <c r="V690" s="55" t="n"/>
      <c r="W690" s="55" t="n"/>
      <c r="X690" s="55" t="n"/>
      <c r="Y690" s="55" t="n"/>
    </row>
    <row r="691">
      <c r="S691" s="55" t="n"/>
      <c r="T691" s="55" t="n"/>
      <c r="U691" s="55" t="n"/>
      <c r="V691" s="55" t="n"/>
      <c r="W691" s="55" t="n"/>
      <c r="X691" s="55" t="n"/>
      <c r="Y691" s="55" t="n"/>
    </row>
    <row r="692">
      <c r="S692" s="55" t="n"/>
      <c r="T692" s="55" t="n"/>
      <c r="U692" s="55" t="n"/>
      <c r="V692" s="55" t="n"/>
      <c r="W692" s="55" t="n"/>
      <c r="X692" s="55" t="n"/>
      <c r="Y692" s="55" t="n"/>
    </row>
    <row r="693">
      <c r="S693" s="55" t="n"/>
      <c r="T693" s="55" t="n"/>
      <c r="U693" s="55" t="n"/>
      <c r="V693" s="55" t="n"/>
      <c r="W693" s="55" t="n"/>
      <c r="X693" s="55" t="n"/>
      <c r="Y693" s="55" t="n"/>
    </row>
    <row r="694">
      <c r="S694" s="55" t="n"/>
      <c r="T694" s="55" t="n"/>
      <c r="U694" s="55" t="n"/>
      <c r="V694" s="55" t="n"/>
      <c r="W694" s="55" t="n"/>
      <c r="X694" s="55" t="n"/>
      <c r="Y694" s="55" t="n"/>
    </row>
    <row r="695">
      <c r="S695" s="55" t="n"/>
      <c r="T695" s="55" t="n"/>
      <c r="U695" s="55" t="n"/>
      <c r="V695" s="55" t="n"/>
      <c r="W695" s="55" t="n"/>
      <c r="X695" s="55" t="n"/>
      <c r="Y695" s="55" t="n"/>
    </row>
    <row r="696">
      <c r="S696" s="55" t="n"/>
      <c r="T696" s="55" t="n"/>
      <c r="U696" s="55" t="n"/>
      <c r="V696" s="55" t="n"/>
      <c r="W696" s="55" t="n"/>
      <c r="X696" s="55" t="n"/>
      <c r="Y696" s="55" t="n"/>
    </row>
    <row r="697">
      <c r="S697" s="55" t="n"/>
      <c r="T697" s="55" t="n"/>
      <c r="U697" s="55" t="n"/>
      <c r="V697" s="55" t="n"/>
      <c r="W697" s="55" t="n"/>
      <c r="X697" s="55" t="n"/>
      <c r="Y697" s="55" t="n"/>
    </row>
    <row r="698">
      <c r="S698" s="55" t="n"/>
      <c r="T698" s="55" t="n"/>
      <c r="U698" s="55" t="n"/>
      <c r="V698" s="55" t="n"/>
      <c r="W698" s="55" t="n"/>
      <c r="X698" s="55" t="n"/>
      <c r="Y698" s="55" t="n"/>
    </row>
    <row r="699">
      <c r="S699" s="55" t="n"/>
      <c r="T699" s="55" t="n"/>
      <c r="U699" s="55" t="n"/>
      <c r="V699" s="55" t="n"/>
      <c r="W699" s="55" t="n"/>
      <c r="X699" s="55" t="n"/>
      <c r="Y699" s="55" t="n"/>
    </row>
    <row r="700">
      <c r="S700" s="55" t="n"/>
      <c r="T700" s="55" t="n"/>
      <c r="U700" s="55" t="n"/>
      <c r="V700" s="55" t="n"/>
      <c r="W700" s="55" t="n"/>
      <c r="X700" s="55" t="n"/>
      <c r="Y700" s="55" t="n"/>
    </row>
    <row r="701">
      <c r="S701" s="55" t="n"/>
      <c r="T701" s="55" t="n"/>
      <c r="U701" s="55" t="n"/>
      <c r="V701" s="55" t="n"/>
      <c r="W701" s="55" t="n"/>
      <c r="X701" s="55" t="n"/>
      <c r="Y701" s="55" t="n"/>
    </row>
    <row r="702">
      <c r="S702" s="55" t="n"/>
      <c r="T702" s="55" t="n"/>
      <c r="U702" s="55" t="n"/>
      <c r="V702" s="55" t="n"/>
      <c r="W702" s="55" t="n"/>
      <c r="X702" s="55" t="n"/>
      <c r="Y702" s="55" t="n"/>
    </row>
    <row r="703">
      <c r="S703" s="55" t="n"/>
      <c r="T703" s="55" t="n"/>
      <c r="U703" s="55" t="n"/>
      <c r="V703" s="55" t="n"/>
      <c r="W703" s="55" t="n"/>
      <c r="X703" s="55" t="n"/>
      <c r="Y703" s="55" t="n"/>
    </row>
    <row r="704">
      <c r="S704" s="55" t="n"/>
      <c r="T704" s="55" t="n"/>
      <c r="U704" s="55" t="n"/>
      <c r="V704" s="55" t="n"/>
      <c r="W704" s="55" t="n"/>
      <c r="X704" s="55" t="n"/>
      <c r="Y704" s="55" t="n"/>
    </row>
    <row r="705">
      <c r="S705" s="55" t="n"/>
      <c r="T705" s="55" t="n"/>
      <c r="U705" s="55" t="n"/>
      <c r="V705" s="55" t="n"/>
      <c r="W705" s="55" t="n"/>
      <c r="X705" s="55" t="n"/>
      <c r="Y705" s="55" t="n"/>
    </row>
    <row r="706">
      <c r="S706" s="55" t="n"/>
      <c r="T706" s="55" t="n"/>
      <c r="U706" s="55" t="n"/>
      <c r="V706" s="55" t="n"/>
      <c r="W706" s="55" t="n"/>
      <c r="X706" s="55" t="n"/>
      <c r="Y706" s="55" t="n"/>
    </row>
    <row r="707">
      <c r="S707" s="55" t="n"/>
      <c r="T707" s="55" t="n"/>
      <c r="U707" s="55" t="n"/>
      <c r="V707" s="55" t="n"/>
      <c r="W707" s="55" t="n"/>
      <c r="X707" s="55" t="n"/>
      <c r="Y707" s="55" t="n"/>
    </row>
    <row r="708">
      <c r="S708" s="55" t="n"/>
      <c r="T708" s="55" t="n"/>
      <c r="U708" s="55" t="n"/>
      <c r="V708" s="55" t="n"/>
      <c r="W708" s="55" t="n"/>
      <c r="X708" s="55" t="n"/>
      <c r="Y708" s="55" t="n"/>
    </row>
    <row r="709">
      <c r="S709" s="55" t="n"/>
      <c r="T709" s="55" t="n"/>
      <c r="U709" s="55" t="n"/>
      <c r="V709" s="55" t="n"/>
      <c r="W709" s="55" t="n"/>
      <c r="X709" s="55" t="n"/>
      <c r="Y709" s="55" t="n"/>
    </row>
    <row r="710">
      <c r="S710" s="55" t="n"/>
      <c r="T710" s="55" t="n"/>
      <c r="U710" s="55" t="n"/>
      <c r="V710" s="55" t="n"/>
      <c r="W710" s="55" t="n"/>
      <c r="X710" s="55" t="n"/>
      <c r="Y710" s="55" t="n"/>
    </row>
    <row r="711">
      <c r="S711" s="55" t="n"/>
      <c r="T711" s="55" t="n"/>
      <c r="U711" s="55" t="n"/>
      <c r="V711" s="55" t="n"/>
      <c r="W711" s="55" t="n"/>
      <c r="X711" s="55" t="n"/>
      <c r="Y711" s="55" t="n"/>
    </row>
    <row r="712">
      <c r="S712" s="55" t="n"/>
      <c r="T712" s="55" t="n"/>
      <c r="U712" s="55" t="n"/>
      <c r="V712" s="55" t="n"/>
      <c r="W712" s="55" t="n"/>
      <c r="X712" s="55" t="n"/>
      <c r="Y712" s="55" t="n"/>
    </row>
    <row r="713">
      <c r="S713" s="55" t="n"/>
      <c r="T713" s="55" t="n"/>
      <c r="U713" s="55" t="n"/>
      <c r="V713" s="55" t="n"/>
      <c r="W713" s="55" t="n"/>
      <c r="X713" s="55" t="n"/>
      <c r="Y713" s="55" t="n"/>
    </row>
    <row r="714">
      <c r="S714" s="55" t="n"/>
      <c r="T714" s="55" t="n"/>
      <c r="U714" s="55" t="n"/>
      <c r="V714" s="55" t="n"/>
      <c r="W714" s="55" t="n"/>
      <c r="X714" s="55" t="n"/>
      <c r="Y714" s="55" t="n"/>
    </row>
    <row r="715">
      <c r="S715" s="55" t="n"/>
      <c r="T715" s="55" t="n"/>
      <c r="U715" s="55" t="n"/>
      <c r="V715" s="55" t="n"/>
      <c r="W715" s="55" t="n"/>
      <c r="X715" s="55" t="n"/>
      <c r="Y715" s="55" t="n"/>
    </row>
    <row r="716">
      <c r="S716" s="55" t="n"/>
      <c r="T716" s="55" t="n"/>
      <c r="U716" s="55" t="n"/>
      <c r="V716" s="55" t="n"/>
      <c r="W716" s="55" t="n"/>
      <c r="X716" s="55" t="n"/>
      <c r="Y716" s="55" t="n"/>
    </row>
    <row r="717">
      <c r="S717" s="55" t="n"/>
      <c r="T717" s="55" t="n"/>
      <c r="U717" s="55" t="n"/>
      <c r="V717" s="55" t="n"/>
      <c r="W717" s="55" t="n"/>
      <c r="X717" s="55" t="n"/>
      <c r="Y717" s="55" t="n"/>
    </row>
    <row r="718">
      <c r="S718" s="55" t="n"/>
      <c r="T718" s="55" t="n"/>
      <c r="U718" s="55" t="n"/>
      <c r="V718" s="55" t="n"/>
      <c r="W718" s="55" t="n"/>
      <c r="X718" s="55" t="n"/>
      <c r="Y718" s="55" t="n"/>
    </row>
    <row r="719">
      <c r="S719" s="55" t="n"/>
      <c r="T719" s="55" t="n"/>
      <c r="U719" s="55" t="n"/>
      <c r="V719" s="55" t="n"/>
      <c r="W719" s="55" t="n"/>
      <c r="X719" s="55" t="n"/>
      <c r="Y719" s="55" t="n"/>
    </row>
    <row r="720">
      <c r="S720" s="55" t="n"/>
      <c r="T720" s="55" t="n"/>
      <c r="U720" s="55" t="n"/>
      <c r="V720" s="55" t="n"/>
      <c r="W720" s="55" t="n"/>
      <c r="X720" s="55" t="n"/>
      <c r="Y720" s="55" t="n"/>
    </row>
    <row r="721">
      <c r="S721" s="55" t="n"/>
      <c r="T721" s="55" t="n"/>
      <c r="U721" s="55" t="n"/>
      <c r="V721" s="55" t="n"/>
      <c r="W721" s="55" t="n"/>
      <c r="X721" s="55" t="n"/>
      <c r="Y721" s="55" t="n"/>
    </row>
    <row r="722">
      <c r="S722" s="55" t="n"/>
      <c r="T722" s="55" t="n"/>
      <c r="U722" s="55" t="n"/>
      <c r="V722" s="55" t="n"/>
      <c r="W722" s="55" t="n"/>
      <c r="X722" s="55" t="n"/>
      <c r="Y722" s="55" t="n"/>
    </row>
    <row r="723">
      <c r="S723" s="55" t="n"/>
      <c r="T723" s="55" t="n"/>
      <c r="U723" s="55" t="n"/>
      <c r="V723" s="55" t="n"/>
      <c r="W723" s="55" t="n"/>
      <c r="X723" s="55" t="n"/>
      <c r="Y723" s="55" t="n"/>
    </row>
    <row r="724">
      <c r="S724" s="55" t="n"/>
      <c r="T724" s="55" t="n"/>
      <c r="U724" s="55" t="n"/>
      <c r="V724" s="55" t="n"/>
      <c r="W724" s="55" t="n"/>
      <c r="X724" s="55" t="n"/>
      <c r="Y724" s="55" t="n"/>
    </row>
    <row r="725">
      <c r="S725" s="55" t="n"/>
      <c r="T725" s="55" t="n"/>
      <c r="U725" s="55" t="n"/>
      <c r="V725" s="55" t="n"/>
      <c r="W725" s="55" t="n"/>
      <c r="X725" s="55" t="n"/>
      <c r="Y725" s="55" t="n"/>
    </row>
    <row r="726">
      <c r="S726" s="55" t="n"/>
      <c r="T726" s="55" t="n"/>
      <c r="U726" s="55" t="n"/>
      <c r="V726" s="55" t="n"/>
      <c r="W726" s="55" t="n"/>
      <c r="X726" s="55" t="n"/>
      <c r="Y726" s="55" t="n"/>
    </row>
    <row r="727">
      <c r="S727" s="55" t="n"/>
      <c r="T727" s="55" t="n"/>
      <c r="U727" s="55" t="n"/>
      <c r="V727" s="55" t="n"/>
      <c r="W727" s="55" t="n"/>
      <c r="X727" s="55" t="n"/>
      <c r="Y727" s="55" t="n"/>
    </row>
    <row r="728">
      <c r="S728" s="55" t="n"/>
      <c r="T728" s="55" t="n"/>
      <c r="U728" s="55" t="n"/>
      <c r="V728" s="55" t="n"/>
      <c r="W728" s="55" t="n"/>
      <c r="X728" s="55" t="n"/>
      <c r="Y728" s="55" t="n"/>
    </row>
    <row r="729">
      <c r="S729" s="55" t="n"/>
      <c r="T729" s="55" t="n"/>
      <c r="U729" s="55" t="n"/>
      <c r="V729" s="55" t="n"/>
      <c r="W729" s="55" t="n"/>
      <c r="X729" s="55" t="n"/>
      <c r="Y729" s="55" t="n"/>
    </row>
    <row r="730">
      <c r="S730" s="55" t="n"/>
      <c r="T730" s="55" t="n"/>
      <c r="U730" s="55" t="n"/>
      <c r="V730" s="55" t="n"/>
      <c r="W730" s="55" t="n"/>
      <c r="X730" s="55" t="n"/>
      <c r="Y730" s="55" t="n"/>
    </row>
    <row r="731">
      <c r="S731" s="55" t="n"/>
      <c r="T731" s="55" t="n"/>
      <c r="U731" s="55" t="n"/>
      <c r="V731" s="55" t="n"/>
      <c r="W731" s="55" t="n"/>
      <c r="X731" s="55" t="n"/>
      <c r="Y731" s="55" t="n"/>
    </row>
    <row r="732">
      <c r="S732" s="55" t="n"/>
      <c r="T732" s="55" t="n"/>
      <c r="U732" s="55" t="n"/>
      <c r="V732" s="55" t="n"/>
      <c r="W732" s="55" t="n"/>
      <c r="X732" s="55" t="n"/>
      <c r="Y732" s="55" t="n"/>
    </row>
    <row r="733">
      <c r="S733" s="55" t="n"/>
      <c r="T733" s="55" t="n"/>
      <c r="U733" s="55" t="n"/>
      <c r="V733" s="55" t="n"/>
      <c r="W733" s="55" t="n"/>
      <c r="X733" s="55" t="n"/>
      <c r="Y733" s="55" t="n"/>
    </row>
    <row r="734">
      <c r="S734" s="55" t="n"/>
      <c r="T734" s="55" t="n"/>
      <c r="U734" s="55" t="n"/>
      <c r="V734" s="55" t="n"/>
      <c r="W734" s="55" t="n"/>
      <c r="X734" s="55" t="n"/>
      <c r="Y734" s="55" t="n"/>
    </row>
    <row r="735">
      <c r="S735" s="55" t="n"/>
      <c r="T735" s="55" t="n"/>
      <c r="U735" s="55" t="n"/>
      <c r="V735" s="55" t="n"/>
      <c r="W735" s="55" t="n"/>
      <c r="X735" s="55" t="n"/>
      <c r="Y735" s="55" t="n"/>
    </row>
    <row r="736">
      <c r="S736" s="55" t="n"/>
      <c r="T736" s="55" t="n"/>
      <c r="U736" s="55" t="n"/>
      <c r="V736" s="55" t="n"/>
      <c r="W736" s="55" t="n"/>
      <c r="X736" s="55" t="n"/>
      <c r="Y736" s="55" t="n"/>
    </row>
    <row r="737">
      <c r="S737" s="55" t="n"/>
      <c r="T737" s="55" t="n"/>
      <c r="U737" s="55" t="n"/>
      <c r="V737" s="55" t="n"/>
      <c r="W737" s="55" t="n"/>
      <c r="X737" s="55" t="n"/>
      <c r="Y737" s="55" t="n"/>
    </row>
    <row r="738">
      <c r="S738" s="55" t="n"/>
      <c r="T738" s="55" t="n"/>
      <c r="U738" s="55" t="n"/>
      <c r="V738" s="55" t="n"/>
      <c r="W738" s="55" t="n"/>
      <c r="X738" s="55" t="n"/>
      <c r="Y738" s="55" t="n"/>
    </row>
    <row r="739">
      <c r="S739" s="55" t="n"/>
      <c r="T739" s="55" t="n"/>
      <c r="U739" s="55" t="n"/>
      <c r="V739" s="55" t="n"/>
      <c r="W739" s="55" t="n"/>
      <c r="X739" s="55" t="n"/>
      <c r="Y739" s="55" t="n"/>
    </row>
    <row r="740">
      <c r="S740" s="55" t="n"/>
      <c r="T740" s="55" t="n"/>
      <c r="U740" s="55" t="n"/>
      <c r="V740" s="55" t="n"/>
      <c r="W740" s="55" t="n"/>
      <c r="X740" s="55" t="n"/>
      <c r="Y740" s="55" t="n"/>
    </row>
    <row r="741">
      <c r="S741" s="55" t="n"/>
      <c r="T741" s="55" t="n"/>
      <c r="U741" s="55" t="n"/>
      <c r="V741" s="55" t="n"/>
      <c r="W741" s="55" t="n"/>
      <c r="X741" s="55" t="n"/>
      <c r="Y741" s="55" t="n"/>
    </row>
    <row r="742">
      <c r="S742" s="55" t="n"/>
      <c r="T742" s="55" t="n"/>
      <c r="U742" s="55" t="n"/>
      <c r="V742" s="55" t="n"/>
      <c r="W742" s="55" t="n"/>
      <c r="X742" s="55" t="n"/>
      <c r="Y742" s="55" t="n"/>
    </row>
    <row r="743">
      <c r="S743" s="55" t="n"/>
      <c r="T743" s="55" t="n"/>
      <c r="U743" s="55" t="n"/>
      <c r="V743" s="55" t="n"/>
      <c r="W743" s="55" t="n"/>
      <c r="X743" s="55" t="n"/>
      <c r="Y743" s="55" t="n"/>
    </row>
    <row r="744">
      <c r="S744" s="55" t="n"/>
      <c r="T744" s="55" t="n"/>
      <c r="U744" s="55" t="n"/>
      <c r="V744" s="55" t="n"/>
      <c r="W744" s="55" t="n"/>
      <c r="X744" s="55" t="n"/>
      <c r="Y744" s="55" t="n"/>
    </row>
    <row r="745">
      <c r="S745" s="55" t="n"/>
      <c r="T745" s="55" t="n"/>
      <c r="U745" s="55" t="n"/>
      <c r="V745" s="55" t="n"/>
      <c r="W745" s="55" t="n"/>
      <c r="X745" s="55" t="n"/>
      <c r="Y745" s="55" t="n"/>
    </row>
    <row r="746">
      <c r="S746" s="55" t="n"/>
      <c r="T746" s="55" t="n"/>
      <c r="U746" s="55" t="n"/>
      <c r="V746" s="55" t="n"/>
      <c r="W746" s="55" t="n"/>
      <c r="X746" s="55" t="n"/>
      <c r="Y746" s="55" t="n"/>
    </row>
    <row r="747">
      <c r="S747" s="55" t="n"/>
      <c r="T747" s="55" t="n"/>
      <c r="U747" s="55" t="n"/>
      <c r="V747" s="55" t="n"/>
      <c r="W747" s="55" t="n"/>
      <c r="X747" s="55" t="n"/>
      <c r="Y747" s="55" t="n"/>
    </row>
    <row r="748">
      <c r="S748" s="55" t="n"/>
      <c r="T748" s="55" t="n"/>
      <c r="U748" s="55" t="n"/>
      <c r="V748" s="55" t="n"/>
      <c r="W748" s="55" t="n"/>
      <c r="X748" s="55" t="n"/>
      <c r="Y748" s="55" t="n"/>
    </row>
    <row r="749">
      <c r="S749" s="55" t="n"/>
      <c r="T749" s="55" t="n"/>
      <c r="U749" s="55" t="n"/>
      <c r="V749" s="55" t="n"/>
      <c r="W749" s="55" t="n"/>
      <c r="X749" s="55" t="n"/>
      <c r="Y749" s="55" t="n"/>
    </row>
    <row r="750">
      <c r="S750" s="55" t="n"/>
      <c r="T750" s="55" t="n"/>
      <c r="U750" s="55" t="n"/>
      <c r="V750" s="55" t="n"/>
      <c r="W750" s="55" t="n"/>
      <c r="X750" s="55" t="n"/>
      <c r="Y750" s="55" t="n"/>
    </row>
    <row r="751">
      <c r="S751" s="55" t="n"/>
      <c r="T751" s="55" t="n"/>
      <c r="U751" s="55" t="n"/>
      <c r="V751" s="55" t="n"/>
      <c r="W751" s="55" t="n"/>
      <c r="X751" s="55" t="n"/>
      <c r="Y751" s="55" t="n"/>
    </row>
    <row r="752">
      <c r="S752" s="55" t="n"/>
      <c r="T752" s="55" t="n"/>
      <c r="U752" s="55" t="n"/>
      <c r="V752" s="55" t="n"/>
      <c r="W752" s="55" t="n"/>
      <c r="X752" s="55" t="n"/>
      <c r="Y752" s="55" t="n"/>
    </row>
    <row r="753">
      <c r="S753" s="55" t="n"/>
      <c r="T753" s="55" t="n"/>
      <c r="U753" s="55" t="n"/>
      <c r="V753" s="55" t="n"/>
      <c r="W753" s="55" t="n"/>
      <c r="X753" s="55" t="n"/>
      <c r="Y753" s="55" t="n"/>
    </row>
    <row r="754">
      <c r="S754" s="55" t="n"/>
      <c r="T754" s="55" t="n"/>
      <c r="U754" s="55" t="n"/>
      <c r="V754" s="55" t="n"/>
      <c r="W754" s="55" t="n"/>
      <c r="X754" s="55" t="n"/>
      <c r="Y754" s="55" t="n"/>
    </row>
    <row r="755">
      <c r="S755" s="55" t="n"/>
      <c r="T755" s="55" t="n"/>
      <c r="U755" s="55" t="n"/>
      <c r="V755" s="55" t="n"/>
      <c r="W755" s="55" t="n"/>
      <c r="X755" s="55" t="n"/>
      <c r="Y755" s="55" t="n"/>
    </row>
    <row r="756">
      <c r="S756" s="55" t="n"/>
      <c r="T756" s="55" t="n"/>
      <c r="U756" s="55" t="n"/>
      <c r="V756" s="55" t="n"/>
      <c r="W756" s="55" t="n"/>
      <c r="X756" s="55" t="n"/>
      <c r="Y756" s="55" t="n"/>
    </row>
    <row r="757">
      <c r="S757" s="55" t="n"/>
      <c r="T757" s="55" t="n"/>
      <c r="U757" s="55" t="n"/>
      <c r="V757" s="55" t="n"/>
      <c r="W757" s="55" t="n"/>
      <c r="X757" s="55" t="n"/>
      <c r="Y757" s="55" t="n"/>
    </row>
    <row r="758">
      <c r="S758" s="55" t="n"/>
      <c r="T758" s="55" t="n"/>
      <c r="U758" s="55" t="n"/>
      <c r="V758" s="55" t="n"/>
      <c r="W758" s="55" t="n"/>
      <c r="X758" s="55" t="n"/>
      <c r="Y758" s="55" t="n"/>
    </row>
    <row r="759">
      <c r="S759" s="55" t="n"/>
      <c r="T759" s="55" t="n"/>
      <c r="U759" s="55" t="n"/>
      <c r="V759" s="55" t="n"/>
      <c r="W759" s="55" t="n"/>
      <c r="X759" s="55" t="n"/>
      <c r="Y759" s="55" t="n"/>
    </row>
    <row r="760">
      <c r="S760" s="55" t="n"/>
      <c r="T760" s="55" t="n"/>
      <c r="U760" s="55" t="n"/>
      <c r="V760" s="55" t="n"/>
      <c r="W760" s="55" t="n"/>
      <c r="X760" s="55" t="n"/>
      <c r="Y760" s="55" t="n"/>
    </row>
    <row r="761">
      <c r="S761" s="55" t="n"/>
      <c r="T761" s="55" t="n"/>
      <c r="U761" s="55" t="n"/>
      <c r="V761" s="55" t="n"/>
      <c r="W761" s="55" t="n"/>
      <c r="X761" s="55" t="n"/>
      <c r="Y761" s="55" t="n"/>
    </row>
    <row r="762">
      <c r="S762" s="55" t="n"/>
      <c r="T762" s="55" t="n"/>
      <c r="U762" s="55" t="n"/>
      <c r="V762" s="55" t="n"/>
      <c r="W762" s="55" t="n"/>
      <c r="X762" s="55" t="n"/>
      <c r="Y762" s="55" t="n"/>
    </row>
    <row r="763">
      <c r="S763" s="55" t="n"/>
      <c r="T763" s="55" t="n"/>
      <c r="U763" s="55" t="n"/>
      <c r="V763" s="55" t="n"/>
      <c r="W763" s="55" t="n"/>
      <c r="X763" s="55" t="n"/>
      <c r="Y763" s="55" t="n"/>
    </row>
    <row r="764">
      <c r="S764" s="55" t="n"/>
      <c r="T764" s="55" t="n"/>
      <c r="U764" s="55" t="n"/>
      <c r="V764" s="55" t="n"/>
      <c r="W764" s="55" t="n"/>
      <c r="X764" s="55" t="n"/>
      <c r="Y764" s="55" t="n"/>
    </row>
    <row r="765">
      <c r="S765" s="55" t="n"/>
      <c r="T765" s="55" t="n"/>
      <c r="U765" s="55" t="n"/>
      <c r="V765" s="55" t="n"/>
      <c r="W765" s="55" t="n"/>
      <c r="X765" s="55" t="n"/>
      <c r="Y765" s="55" t="n"/>
    </row>
    <row r="766">
      <c r="S766" s="55" t="n"/>
      <c r="T766" s="55" t="n"/>
      <c r="U766" s="55" t="n"/>
      <c r="V766" s="55" t="n"/>
      <c r="W766" s="55" t="n"/>
      <c r="X766" s="55" t="n"/>
      <c r="Y766" s="55" t="n"/>
    </row>
    <row r="767">
      <c r="S767" s="55" t="n"/>
      <c r="T767" s="55" t="n"/>
      <c r="U767" s="55" t="n"/>
      <c r="V767" s="55" t="n"/>
      <c r="W767" s="55" t="n"/>
      <c r="X767" s="55" t="n"/>
      <c r="Y767" s="55" t="n"/>
    </row>
    <row r="768">
      <c r="S768" s="55" t="n"/>
      <c r="T768" s="55" t="n"/>
      <c r="U768" s="55" t="n"/>
      <c r="V768" s="55" t="n"/>
      <c r="W768" s="55" t="n"/>
      <c r="X768" s="55" t="n"/>
      <c r="Y768" s="55" t="n"/>
    </row>
    <row r="769">
      <c r="S769" s="55" t="n"/>
      <c r="T769" s="55" t="n"/>
      <c r="U769" s="55" t="n"/>
      <c r="V769" s="55" t="n"/>
      <c r="W769" s="55" t="n"/>
      <c r="X769" s="55" t="n"/>
      <c r="Y769" s="55" t="n"/>
    </row>
    <row r="770">
      <c r="S770" s="55" t="n"/>
      <c r="T770" s="55" t="n"/>
      <c r="U770" s="55" t="n"/>
      <c r="V770" s="55" t="n"/>
      <c r="W770" s="55" t="n"/>
      <c r="X770" s="55" t="n"/>
      <c r="Y770" s="55" t="n"/>
    </row>
    <row r="771">
      <c r="S771" s="55" t="n"/>
      <c r="T771" s="55" t="n"/>
      <c r="U771" s="55" t="n"/>
      <c r="V771" s="55" t="n"/>
      <c r="W771" s="55" t="n"/>
      <c r="X771" s="55" t="n"/>
      <c r="Y771" s="55" t="n"/>
    </row>
    <row r="772">
      <c r="S772" s="55" t="n"/>
      <c r="T772" s="55" t="n"/>
      <c r="U772" s="55" t="n"/>
      <c r="V772" s="55" t="n"/>
      <c r="W772" s="55" t="n"/>
      <c r="X772" s="55" t="n"/>
      <c r="Y772" s="55" t="n"/>
    </row>
    <row r="773">
      <c r="S773" s="55" t="n"/>
      <c r="T773" s="55" t="n"/>
      <c r="U773" s="55" t="n"/>
      <c r="V773" s="55" t="n"/>
      <c r="W773" s="55" t="n"/>
      <c r="X773" s="55" t="n"/>
      <c r="Y773" s="55" t="n"/>
    </row>
    <row r="774">
      <c r="S774" s="55" t="n"/>
      <c r="T774" s="55" t="n"/>
      <c r="U774" s="55" t="n"/>
      <c r="V774" s="55" t="n"/>
      <c r="W774" s="55" t="n"/>
      <c r="X774" s="55" t="n"/>
      <c r="Y774" s="55" t="n"/>
    </row>
    <row r="775">
      <c r="S775" s="55" t="n"/>
      <c r="T775" s="55" t="n"/>
      <c r="U775" s="55" t="n"/>
      <c r="V775" s="55" t="n"/>
      <c r="W775" s="55" t="n"/>
      <c r="X775" s="55" t="n"/>
      <c r="Y775" s="55" t="n"/>
    </row>
    <row r="776">
      <c r="S776" s="55" t="n"/>
      <c r="T776" s="55" t="n"/>
      <c r="U776" s="55" t="n"/>
      <c r="V776" s="55" t="n"/>
      <c r="W776" s="55" t="n"/>
      <c r="X776" s="55" t="n"/>
      <c r="Y776" s="55" t="n"/>
    </row>
    <row r="777">
      <c r="S777" s="55" t="n"/>
      <c r="T777" s="55" t="n"/>
      <c r="U777" s="55" t="n"/>
      <c r="V777" s="55" t="n"/>
      <c r="W777" s="55" t="n"/>
      <c r="X777" s="55" t="n"/>
      <c r="Y777" s="55" t="n"/>
    </row>
    <row r="778">
      <c r="S778" s="55" t="n"/>
      <c r="T778" s="55" t="n"/>
      <c r="U778" s="55" t="n"/>
      <c r="V778" s="55" t="n"/>
      <c r="W778" s="55" t="n"/>
      <c r="X778" s="55" t="n"/>
      <c r="Y778" s="55" t="n"/>
    </row>
    <row r="779">
      <c r="S779" s="55" t="n"/>
      <c r="T779" s="55" t="n"/>
      <c r="U779" s="55" t="n"/>
      <c r="V779" s="55" t="n"/>
      <c r="W779" s="55" t="n"/>
      <c r="X779" s="55" t="n"/>
      <c r="Y779" s="55" t="n"/>
    </row>
    <row r="780">
      <c r="S780" s="55" t="n"/>
      <c r="T780" s="55" t="n"/>
      <c r="U780" s="55" t="n"/>
      <c r="V780" s="55" t="n"/>
      <c r="W780" s="55" t="n"/>
      <c r="X780" s="55" t="n"/>
      <c r="Y780" s="55" t="n"/>
    </row>
    <row r="781">
      <c r="S781" s="55" t="n"/>
      <c r="T781" s="55" t="n"/>
      <c r="U781" s="55" t="n"/>
      <c r="V781" s="55" t="n"/>
      <c r="W781" s="55" t="n"/>
      <c r="X781" s="55" t="n"/>
      <c r="Y781" s="55" t="n"/>
    </row>
    <row r="782">
      <c r="S782" s="55" t="n"/>
      <c r="T782" s="55" t="n"/>
      <c r="U782" s="55" t="n"/>
      <c r="V782" s="55" t="n"/>
      <c r="W782" s="55" t="n"/>
      <c r="X782" s="55" t="n"/>
      <c r="Y782" s="55" t="n"/>
    </row>
    <row r="783">
      <c r="S783" s="55" t="n"/>
      <c r="T783" s="55" t="n"/>
      <c r="U783" s="55" t="n"/>
      <c r="V783" s="55" t="n"/>
      <c r="W783" s="55" t="n"/>
      <c r="X783" s="55" t="n"/>
      <c r="Y783" s="55" t="n"/>
    </row>
    <row r="784">
      <c r="S784" s="55" t="n"/>
      <c r="T784" s="55" t="n"/>
      <c r="U784" s="55" t="n"/>
      <c r="V784" s="55" t="n"/>
      <c r="W784" s="55" t="n"/>
      <c r="X784" s="55" t="n"/>
      <c r="Y784" s="55" t="n"/>
    </row>
    <row r="785">
      <c r="S785" s="55" t="n"/>
      <c r="T785" s="55" t="n"/>
      <c r="U785" s="55" t="n"/>
      <c r="V785" s="55" t="n"/>
      <c r="W785" s="55" t="n"/>
      <c r="X785" s="55" t="n"/>
      <c r="Y785" s="55" t="n"/>
    </row>
    <row r="786">
      <c r="S786" s="55" t="n"/>
      <c r="T786" s="55" t="n"/>
      <c r="U786" s="55" t="n"/>
      <c r="V786" s="55" t="n"/>
      <c r="W786" s="55" t="n"/>
      <c r="X786" s="55" t="n"/>
      <c r="Y786" s="55" t="n"/>
    </row>
    <row r="787">
      <c r="S787" s="55" t="n"/>
      <c r="T787" s="55" t="n"/>
      <c r="U787" s="55" t="n"/>
      <c r="V787" s="55" t="n"/>
      <c r="W787" s="55" t="n"/>
      <c r="X787" s="55" t="n"/>
      <c r="Y787" s="55" t="n"/>
    </row>
    <row r="788">
      <c r="S788" s="55" t="n"/>
      <c r="T788" s="55" t="n"/>
      <c r="U788" s="55" t="n"/>
      <c r="V788" s="55" t="n"/>
      <c r="W788" s="55" t="n"/>
      <c r="X788" s="55" t="n"/>
      <c r="Y788" s="55" t="n"/>
    </row>
    <row r="789">
      <c r="S789" s="55" t="n"/>
      <c r="T789" s="55" t="n"/>
      <c r="U789" s="55" t="n"/>
      <c r="V789" s="55" t="n"/>
      <c r="W789" s="55" t="n"/>
      <c r="X789" s="55" t="n"/>
      <c r="Y789" s="55" t="n"/>
    </row>
    <row r="790">
      <c r="S790" s="55" t="n"/>
      <c r="T790" s="55" t="n"/>
      <c r="U790" s="55" t="n"/>
      <c r="V790" s="55" t="n"/>
      <c r="W790" s="55" t="n"/>
      <c r="X790" s="55" t="n"/>
      <c r="Y790" s="55" t="n"/>
    </row>
    <row r="791">
      <c r="S791" s="55" t="n"/>
      <c r="T791" s="55" t="n"/>
      <c r="U791" s="55" t="n"/>
      <c r="V791" s="55" t="n"/>
      <c r="W791" s="55" t="n"/>
      <c r="X791" s="55" t="n"/>
      <c r="Y791" s="55" t="n"/>
    </row>
    <row r="792">
      <c r="S792" s="55" t="n"/>
      <c r="T792" s="55" t="n"/>
      <c r="U792" s="55" t="n"/>
      <c r="V792" s="55" t="n"/>
      <c r="W792" s="55" t="n"/>
      <c r="X792" s="55" t="n"/>
      <c r="Y792" s="55" t="n"/>
    </row>
    <row r="793">
      <c r="S793" s="55" t="n"/>
      <c r="T793" s="55" t="n"/>
      <c r="U793" s="55" t="n"/>
      <c r="V793" s="55" t="n"/>
      <c r="W793" s="55" t="n"/>
      <c r="X793" s="55" t="n"/>
      <c r="Y793" s="55" t="n"/>
    </row>
    <row r="794">
      <c r="S794" s="55" t="n"/>
      <c r="T794" s="55" t="n"/>
      <c r="U794" s="55" t="n"/>
      <c r="V794" s="55" t="n"/>
      <c r="W794" s="55" t="n"/>
      <c r="X794" s="55" t="n"/>
      <c r="Y794" s="55" t="n"/>
    </row>
    <row r="795">
      <c r="S795" s="55" t="n"/>
      <c r="T795" s="55" t="n"/>
      <c r="U795" s="55" t="n"/>
      <c r="V795" s="55" t="n"/>
      <c r="W795" s="55" t="n"/>
      <c r="X795" s="55" t="n"/>
      <c r="Y795" s="55" t="n"/>
    </row>
    <row r="796">
      <c r="S796" s="55" t="n"/>
      <c r="T796" s="55" t="n"/>
      <c r="U796" s="55" t="n"/>
      <c r="V796" s="55" t="n"/>
      <c r="W796" s="55" t="n"/>
      <c r="X796" s="55" t="n"/>
      <c r="Y796" s="55" t="n"/>
    </row>
    <row r="797">
      <c r="S797" s="55" t="n"/>
      <c r="T797" s="55" t="n"/>
      <c r="U797" s="55" t="n"/>
      <c r="V797" s="55" t="n"/>
      <c r="W797" s="55" t="n"/>
      <c r="X797" s="55" t="n"/>
      <c r="Y797" s="55" t="n"/>
    </row>
    <row r="798">
      <c r="S798" s="55" t="n"/>
      <c r="T798" s="55" t="n"/>
      <c r="U798" s="55" t="n"/>
      <c r="V798" s="55" t="n"/>
      <c r="W798" s="55" t="n"/>
      <c r="X798" s="55" t="n"/>
      <c r="Y798" s="55" t="n"/>
    </row>
    <row r="799">
      <c r="S799" s="55" t="n"/>
      <c r="T799" s="55" t="n"/>
      <c r="U799" s="55" t="n"/>
      <c r="V799" s="55" t="n"/>
      <c r="W799" s="55" t="n"/>
      <c r="X799" s="55" t="n"/>
      <c r="Y799" s="55" t="n"/>
    </row>
    <row r="800">
      <c r="S800" s="55" t="n"/>
      <c r="T800" s="55" t="n"/>
      <c r="U800" s="55" t="n"/>
      <c r="V800" s="55" t="n"/>
      <c r="W800" s="55" t="n"/>
      <c r="X800" s="55" t="n"/>
      <c r="Y800" s="55" t="n"/>
    </row>
    <row r="801">
      <c r="S801" s="55" t="n"/>
      <c r="T801" s="55" t="n"/>
      <c r="U801" s="55" t="n"/>
      <c r="V801" s="55" t="n"/>
      <c r="W801" s="55" t="n"/>
      <c r="X801" s="55" t="n"/>
      <c r="Y801" s="55" t="n"/>
    </row>
    <row r="802">
      <c r="S802" s="55" t="n"/>
      <c r="T802" s="55" t="n"/>
      <c r="U802" s="55" t="n"/>
      <c r="V802" s="55" t="n"/>
      <c r="W802" s="55" t="n"/>
      <c r="X802" s="55" t="n"/>
      <c r="Y802" s="55" t="n"/>
    </row>
    <row r="803">
      <c r="S803" s="55" t="n"/>
      <c r="T803" s="55" t="n"/>
      <c r="U803" s="55" t="n"/>
      <c r="V803" s="55" t="n"/>
      <c r="W803" s="55" t="n"/>
      <c r="X803" s="55" t="n"/>
      <c r="Y803" s="55" t="n"/>
    </row>
    <row r="804">
      <c r="S804" s="55" t="n"/>
      <c r="T804" s="55" t="n"/>
      <c r="U804" s="55" t="n"/>
      <c r="V804" s="55" t="n"/>
      <c r="W804" s="55" t="n"/>
      <c r="X804" s="55" t="n"/>
      <c r="Y804" s="55" t="n"/>
    </row>
    <row r="805">
      <c r="S805" s="55" t="n"/>
      <c r="T805" s="55" t="n"/>
      <c r="U805" s="55" t="n"/>
      <c r="V805" s="55" t="n"/>
      <c r="W805" s="55" t="n"/>
      <c r="X805" s="55" t="n"/>
      <c r="Y805" s="55" t="n"/>
    </row>
    <row r="806">
      <c r="S806" s="55" t="n"/>
      <c r="T806" s="55" t="n"/>
      <c r="U806" s="55" t="n"/>
      <c r="V806" s="55" t="n"/>
      <c r="W806" s="55" t="n"/>
      <c r="X806" s="55" t="n"/>
      <c r="Y806" s="55" t="n"/>
    </row>
    <row r="807">
      <c r="S807" s="55" t="n"/>
      <c r="T807" s="55" t="n"/>
      <c r="U807" s="55" t="n"/>
      <c r="V807" s="55" t="n"/>
      <c r="W807" s="55" t="n"/>
      <c r="X807" s="55" t="n"/>
      <c r="Y807" s="55" t="n"/>
    </row>
    <row r="808">
      <c r="S808" s="55" t="n"/>
      <c r="T808" s="55" t="n"/>
      <c r="U808" s="55" t="n"/>
      <c r="V808" s="55" t="n"/>
      <c r="W808" s="55" t="n"/>
      <c r="X808" s="55" t="n"/>
      <c r="Y808" s="55" t="n"/>
    </row>
    <row r="809">
      <c r="S809" s="55" t="n"/>
      <c r="T809" s="55" t="n"/>
      <c r="U809" s="55" t="n"/>
      <c r="V809" s="55" t="n"/>
      <c r="W809" s="55" t="n"/>
      <c r="X809" s="55" t="n"/>
      <c r="Y809" s="55" t="n"/>
    </row>
    <row r="810">
      <c r="S810" s="55" t="n"/>
      <c r="T810" s="55" t="n"/>
      <c r="U810" s="55" t="n"/>
      <c r="V810" s="55" t="n"/>
      <c r="W810" s="55" t="n"/>
      <c r="X810" s="55" t="n"/>
      <c r="Y810" s="55" t="n"/>
    </row>
    <row r="811">
      <c r="S811" s="55" t="n"/>
      <c r="T811" s="55" t="n"/>
      <c r="U811" s="55" t="n"/>
      <c r="V811" s="55" t="n"/>
      <c r="W811" s="55" t="n"/>
      <c r="X811" s="55" t="n"/>
      <c r="Y811" s="55" t="n"/>
    </row>
    <row r="812">
      <c r="S812" s="55" t="n"/>
      <c r="T812" s="55" t="n"/>
      <c r="U812" s="55" t="n"/>
      <c r="V812" s="55" t="n"/>
      <c r="W812" s="55" t="n"/>
      <c r="X812" s="55" t="n"/>
      <c r="Y812" s="55" t="n"/>
    </row>
    <row r="813">
      <c r="S813" s="55" t="n"/>
      <c r="T813" s="55" t="n"/>
      <c r="U813" s="55" t="n"/>
      <c r="V813" s="55" t="n"/>
      <c r="W813" s="55" t="n"/>
      <c r="X813" s="55" t="n"/>
      <c r="Y813" s="55" t="n"/>
    </row>
    <row r="814">
      <c r="S814" s="55" t="n"/>
      <c r="T814" s="55" t="n"/>
      <c r="U814" s="55" t="n"/>
      <c r="V814" s="55" t="n"/>
      <c r="W814" s="55" t="n"/>
      <c r="X814" s="55" t="n"/>
      <c r="Y814" s="55" t="n"/>
    </row>
    <row r="815">
      <c r="S815" s="55" t="n"/>
      <c r="T815" s="55" t="n"/>
      <c r="U815" s="55" t="n"/>
      <c r="V815" s="55" t="n"/>
      <c r="W815" s="55" t="n"/>
      <c r="X815" s="55" t="n"/>
      <c r="Y815" s="55" t="n"/>
    </row>
    <row r="816">
      <c r="S816" s="55" t="n"/>
      <c r="T816" s="55" t="n"/>
      <c r="U816" s="55" t="n"/>
      <c r="V816" s="55" t="n"/>
      <c r="W816" s="55" t="n"/>
      <c r="X816" s="55" t="n"/>
      <c r="Y816" s="55" t="n"/>
    </row>
    <row r="817">
      <c r="S817" s="55" t="n"/>
      <c r="T817" s="55" t="n"/>
      <c r="U817" s="55" t="n"/>
      <c r="V817" s="55" t="n"/>
      <c r="W817" s="55" t="n"/>
      <c r="X817" s="55" t="n"/>
      <c r="Y817" s="55" t="n"/>
    </row>
    <row r="818">
      <c r="S818" s="55" t="n"/>
      <c r="T818" s="55" t="n"/>
      <c r="U818" s="55" t="n"/>
      <c r="V818" s="55" t="n"/>
      <c r="W818" s="55" t="n"/>
      <c r="X818" s="55" t="n"/>
      <c r="Y818" s="55" t="n"/>
    </row>
    <row r="819">
      <c r="S819" s="55" t="n"/>
      <c r="T819" s="55" t="n"/>
      <c r="U819" s="55" t="n"/>
      <c r="V819" s="55" t="n"/>
      <c r="W819" s="55" t="n"/>
      <c r="X819" s="55" t="n"/>
      <c r="Y819" s="55" t="n"/>
    </row>
    <row r="820">
      <c r="S820" s="55" t="n"/>
      <c r="T820" s="55" t="n"/>
      <c r="U820" s="55" t="n"/>
      <c r="V820" s="55" t="n"/>
      <c r="W820" s="55" t="n"/>
      <c r="X820" s="55" t="n"/>
      <c r="Y820" s="55" t="n"/>
    </row>
    <row r="821">
      <c r="S821" s="55" t="n"/>
      <c r="T821" s="55" t="n"/>
      <c r="U821" s="55" t="n"/>
      <c r="V821" s="55" t="n"/>
      <c r="W821" s="55" t="n"/>
      <c r="X821" s="55" t="n"/>
      <c r="Y821" s="55" t="n"/>
    </row>
    <row r="822">
      <c r="S822" s="55" t="n"/>
      <c r="T822" s="55" t="n"/>
      <c r="U822" s="55" t="n"/>
      <c r="V822" s="55" t="n"/>
      <c r="W822" s="55" t="n"/>
      <c r="X822" s="55" t="n"/>
      <c r="Y822" s="55" t="n"/>
    </row>
    <row r="823">
      <c r="S823" s="55" t="n"/>
      <c r="T823" s="55" t="n"/>
      <c r="U823" s="55" t="n"/>
      <c r="V823" s="55" t="n"/>
      <c r="W823" s="55" t="n"/>
      <c r="X823" s="55" t="n"/>
      <c r="Y823" s="55" t="n"/>
    </row>
    <row r="824">
      <c r="S824" s="55" t="n"/>
      <c r="T824" s="55" t="n"/>
      <c r="U824" s="55" t="n"/>
      <c r="V824" s="55" t="n"/>
      <c r="W824" s="55" t="n"/>
      <c r="X824" s="55" t="n"/>
      <c r="Y824" s="55" t="n"/>
    </row>
    <row r="825">
      <c r="S825" s="55" t="n"/>
      <c r="T825" s="55" t="n"/>
      <c r="U825" s="55" t="n"/>
      <c r="V825" s="55" t="n"/>
      <c r="W825" s="55" t="n"/>
      <c r="X825" s="55" t="n"/>
      <c r="Y825" s="55" t="n"/>
    </row>
    <row r="826">
      <c r="S826" s="55" t="n"/>
      <c r="T826" s="55" t="n"/>
      <c r="U826" s="55" t="n"/>
      <c r="V826" s="55" t="n"/>
      <c r="W826" s="55" t="n"/>
      <c r="X826" s="55" t="n"/>
      <c r="Y826" s="55" t="n"/>
    </row>
    <row r="827">
      <c r="S827" s="55" t="n"/>
      <c r="T827" s="55" t="n"/>
      <c r="U827" s="55" t="n"/>
      <c r="V827" s="55" t="n"/>
      <c r="W827" s="55" t="n"/>
      <c r="X827" s="55" t="n"/>
      <c r="Y827" s="55" t="n"/>
    </row>
    <row r="828">
      <c r="S828" s="55" t="n"/>
      <c r="T828" s="55" t="n"/>
      <c r="U828" s="55" t="n"/>
      <c r="V828" s="55" t="n"/>
      <c r="W828" s="55" t="n"/>
      <c r="X828" s="55" t="n"/>
      <c r="Y828" s="55" t="n"/>
    </row>
    <row r="829">
      <c r="S829" s="55" t="n"/>
      <c r="T829" s="55" t="n"/>
      <c r="U829" s="55" t="n"/>
      <c r="V829" s="55" t="n"/>
      <c r="W829" s="55" t="n"/>
      <c r="X829" s="55" t="n"/>
      <c r="Y829" s="55" t="n"/>
    </row>
    <row r="830">
      <c r="S830" s="55" t="n"/>
      <c r="T830" s="55" t="n"/>
      <c r="U830" s="55" t="n"/>
      <c r="V830" s="55" t="n"/>
      <c r="W830" s="55" t="n"/>
      <c r="X830" s="55" t="n"/>
      <c r="Y830" s="55" t="n"/>
    </row>
    <row r="831">
      <c r="S831" s="55" t="n"/>
      <c r="T831" s="55" t="n"/>
      <c r="U831" s="55" t="n"/>
      <c r="V831" s="55" t="n"/>
      <c r="W831" s="55" t="n"/>
      <c r="X831" s="55" t="n"/>
      <c r="Y831" s="55" t="n"/>
    </row>
    <row r="832">
      <c r="S832" s="55" t="n"/>
      <c r="T832" s="55" t="n"/>
      <c r="U832" s="55" t="n"/>
      <c r="V832" s="55" t="n"/>
      <c r="W832" s="55" t="n"/>
      <c r="X832" s="55" t="n"/>
      <c r="Y832" s="55" t="n"/>
    </row>
    <row r="833">
      <c r="S833" s="55" t="n"/>
      <c r="T833" s="55" t="n"/>
      <c r="U833" s="55" t="n"/>
      <c r="V833" s="55" t="n"/>
      <c r="W833" s="55" t="n"/>
      <c r="X833" s="55" t="n"/>
      <c r="Y833" s="55" t="n"/>
    </row>
    <row r="834">
      <c r="S834" s="55" t="n"/>
      <c r="T834" s="55" t="n"/>
      <c r="U834" s="55" t="n"/>
      <c r="V834" s="55" t="n"/>
      <c r="W834" s="55" t="n"/>
      <c r="X834" s="55" t="n"/>
      <c r="Y834" s="55" t="n"/>
    </row>
    <row r="835">
      <c r="S835" s="55" t="n"/>
      <c r="T835" s="55" t="n"/>
      <c r="U835" s="55" t="n"/>
      <c r="V835" s="55" t="n"/>
      <c r="W835" s="55" t="n"/>
      <c r="X835" s="55" t="n"/>
      <c r="Y835" s="55" t="n"/>
    </row>
    <row r="836">
      <c r="S836" s="55" t="n"/>
      <c r="T836" s="55" t="n"/>
      <c r="U836" s="55" t="n"/>
      <c r="V836" s="55" t="n"/>
      <c r="W836" s="55" t="n"/>
      <c r="X836" s="55" t="n"/>
      <c r="Y836" s="55" t="n"/>
    </row>
    <row r="837">
      <c r="S837" s="55" t="n"/>
      <c r="T837" s="55" t="n"/>
      <c r="U837" s="55" t="n"/>
      <c r="V837" s="55" t="n"/>
      <c r="W837" s="55" t="n"/>
      <c r="X837" s="55" t="n"/>
      <c r="Y837" s="55" t="n"/>
    </row>
    <row r="838">
      <c r="S838" s="55" t="n"/>
      <c r="T838" s="55" t="n"/>
      <c r="U838" s="55" t="n"/>
      <c r="V838" s="55" t="n"/>
      <c r="W838" s="55" t="n"/>
      <c r="X838" s="55" t="n"/>
      <c r="Y838" s="55" t="n"/>
    </row>
    <row r="839">
      <c r="S839" s="55" t="n"/>
      <c r="T839" s="55" t="n"/>
      <c r="U839" s="55" t="n"/>
      <c r="V839" s="55" t="n"/>
      <c r="W839" s="55" t="n"/>
      <c r="X839" s="55" t="n"/>
      <c r="Y839" s="55" t="n"/>
    </row>
    <row r="840">
      <c r="S840" s="55" t="n"/>
      <c r="T840" s="55" t="n"/>
      <c r="U840" s="55" t="n"/>
      <c r="V840" s="55" t="n"/>
      <c r="W840" s="55" t="n"/>
      <c r="X840" s="55" t="n"/>
      <c r="Y840" s="55" t="n"/>
    </row>
    <row r="841">
      <c r="S841" s="55" t="n"/>
      <c r="T841" s="55" t="n"/>
      <c r="U841" s="55" t="n"/>
      <c r="V841" s="55" t="n"/>
      <c r="W841" s="55" t="n"/>
      <c r="X841" s="55" t="n"/>
      <c r="Y841" s="55" t="n"/>
    </row>
    <row r="842">
      <c r="S842" s="55" t="n"/>
      <c r="T842" s="55" t="n"/>
      <c r="U842" s="55" t="n"/>
      <c r="V842" s="55" t="n"/>
      <c r="W842" s="55" t="n"/>
      <c r="X842" s="55" t="n"/>
      <c r="Y842" s="55" t="n"/>
    </row>
    <row r="843">
      <c r="S843" s="55" t="n"/>
      <c r="T843" s="55" t="n"/>
      <c r="U843" s="55" t="n"/>
      <c r="V843" s="55" t="n"/>
      <c r="W843" s="55" t="n"/>
      <c r="X843" s="55" t="n"/>
      <c r="Y843" s="55" t="n"/>
    </row>
    <row r="844">
      <c r="S844" s="55" t="n"/>
      <c r="T844" s="55" t="n"/>
      <c r="U844" s="55" t="n"/>
      <c r="V844" s="55" t="n"/>
      <c r="W844" s="55" t="n"/>
      <c r="X844" s="55" t="n"/>
      <c r="Y844" s="55" t="n"/>
    </row>
    <row r="845">
      <c r="S845" s="55" t="n"/>
      <c r="T845" s="55" t="n"/>
      <c r="U845" s="55" t="n"/>
      <c r="V845" s="55" t="n"/>
      <c r="W845" s="55" t="n"/>
      <c r="X845" s="55" t="n"/>
      <c r="Y845" s="55" t="n"/>
    </row>
    <row r="846">
      <c r="S846" s="55" t="n"/>
      <c r="T846" s="55" t="n"/>
      <c r="U846" s="55" t="n"/>
      <c r="V846" s="55" t="n"/>
      <c r="W846" s="55" t="n"/>
      <c r="X846" s="55" t="n"/>
      <c r="Y846" s="55" t="n"/>
    </row>
    <row r="847">
      <c r="S847" s="55" t="n"/>
      <c r="T847" s="55" t="n"/>
      <c r="U847" s="55" t="n"/>
      <c r="V847" s="55" t="n"/>
      <c r="W847" s="55" t="n"/>
      <c r="X847" s="55" t="n"/>
      <c r="Y847" s="55" t="n"/>
    </row>
    <row r="848">
      <c r="S848" s="55" t="n"/>
      <c r="T848" s="55" t="n"/>
      <c r="U848" s="55" t="n"/>
      <c r="V848" s="55" t="n"/>
      <c r="W848" s="55" t="n"/>
      <c r="X848" s="55" t="n"/>
      <c r="Y848" s="55" t="n"/>
    </row>
    <row r="849">
      <c r="S849" s="55" t="n"/>
      <c r="T849" s="55" t="n"/>
      <c r="U849" s="55" t="n"/>
      <c r="V849" s="55" t="n"/>
      <c r="W849" s="55" t="n"/>
      <c r="X849" s="55" t="n"/>
      <c r="Y849" s="55" t="n"/>
    </row>
    <row r="850">
      <c r="S850" s="55" t="n"/>
      <c r="T850" s="55" t="n"/>
      <c r="U850" s="55" t="n"/>
      <c r="V850" s="55" t="n"/>
      <c r="W850" s="55" t="n"/>
      <c r="X850" s="55" t="n"/>
      <c r="Y850" s="55" t="n"/>
    </row>
    <row r="851">
      <c r="S851" s="55" t="n"/>
      <c r="T851" s="55" t="n"/>
      <c r="U851" s="55" t="n"/>
      <c r="V851" s="55" t="n"/>
      <c r="W851" s="55" t="n"/>
      <c r="X851" s="55" t="n"/>
      <c r="Y851" s="55" t="n"/>
    </row>
    <row r="852">
      <c r="S852" s="55" t="n"/>
      <c r="T852" s="55" t="n"/>
      <c r="U852" s="55" t="n"/>
      <c r="V852" s="55" t="n"/>
      <c r="W852" s="55" t="n"/>
      <c r="X852" s="55" t="n"/>
      <c r="Y852" s="55" t="n"/>
    </row>
    <row r="853">
      <c r="S853" s="55" t="n"/>
      <c r="T853" s="55" t="n"/>
      <c r="U853" s="55" t="n"/>
      <c r="V853" s="55" t="n"/>
      <c r="W853" s="55" t="n"/>
      <c r="X853" s="55" t="n"/>
      <c r="Y853" s="55" t="n"/>
    </row>
    <row r="854">
      <c r="S854" s="55" t="n"/>
      <c r="T854" s="55" t="n"/>
      <c r="U854" s="55" t="n"/>
      <c r="V854" s="55" t="n"/>
      <c r="W854" s="55" t="n"/>
      <c r="X854" s="55" t="n"/>
      <c r="Y854" s="55" t="n"/>
    </row>
    <row r="855">
      <c r="S855" s="55" t="n"/>
      <c r="T855" s="55" t="n"/>
      <c r="U855" s="55" t="n"/>
      <c r="V855" s="55" t="n"/>
      <c r="W855" s="55" t="n"/>
      <c r="X855" s="55" t="n"/>
      <c r="Y855" s="55" t="n"/>
    </row>
    <row r="856">
      <c r="S856" s="55" t="n"/>
      <c r="T856" s="55" t="n"/>
      <c r="U856" s="55" t="n"/>
      <c r="V856" s="55" t="n"/>
      <c r="W856" s="55" t="n"/>
      <c r="X856" s="55" t="n"/>
      <c r="Y856" s="55" t="n"/>
    </row>
    <row r="857">
      <c r="S857" s="55" t="n"/>
      <c r="T857" s="55" t="n"/>
      <c r="U857" s="55" t="n"/>
      <c r="V857" s="55" t="n"/>
      <c r="W857" s="55" t="n"/>
      <c r="X857" s="55" t="n"/>
      <c r="Y857" s="55" t="n"/>
    </row>
    <row r="858">
      <c r="S858" s="55" t="n"/>
      <c r="T858" s="55" t="n"/>
      <c r="U858" s="55" t="n"/>
      <c r="V858" s="55" t="n"/>
      <c r="W858" s="55" t="n"/>
      <c r="X858" s="55" t="n"/>
      <c r="Y858" s="55" t="n"/>
    </row>
    <row r="859">
      <c r="S859" s="55" t="n"/>
      <c r="T859" s="55" t="n"/>
      <c r="U859" s="55" t="n"/>
      <c r="V859" s="55" t="n"/>
      <c r="W859" s="55" t="n"/>
      <c r="X859" s="55" t="n"/>
      <c r="Y859" s="55" t="n"/>
    </row>
    <row r="860">
      <c r="S860" s="55" t="n"/>
      <c r="T860" s="55" t="n"/>
      <c r="U860" s="55" t="n"/>
      <c r="V860" s="55" t="n"/>
      <c r="W860" s="55" t="n"/>
      <c r="X860" s="55" t="n"/>
      <c r="Y860" s="55" t="n"/>
    </row>
    <row r="861">
      <c r="S861" s="55" t="n"/>
      <c r="T861" s="55" t="n"/>
      <c r="U861" s="55" t="n"/>
      <c r="V861" s="55" t="n"/>
      <c r="W861" s="55" t="n"/>
      <c r="X861" s="55" t="n"/>
      <c r="Y861" s="55" t="n"/>
    </row>
    <row r="862">
      <c r="S862" s="55" t="n"/>
      <c r="T862" s="55" t="n"/>
      <c r="U862" s="55" t="n"/>
      <c r="V862" s="55" t="n"/>
      <c r="W862" s="55" t="n"/>
      <c r="X862" s="55" t="n"/>
      <c r="Y862" s="55" t="n"/>
    </row>
    <row r="863">
      <c r="S863" s="55" t="n"/>
      <c r="T863" s="55" t="n"/>
      <c r="U863" s="55" t="n"/>
      <c r="V863" s="55" t="n"/>
      <c r="W863" s="55" t="n"/>
      <c r="X863" s="55" t="n"/>
      <c r="Y863" s="55" t="n"/>
    </row>
    <row r="864">
      <c r="S864" s="55" t="n"/>
      <c r="T864" s="55" t="n"/>
      <c r="U864" s="55" t="n"/>
      <c r="V864" s="55" t="n"/>
      <c r="W864" s="55" t="n"/>
      <c r="X864" s="55" t="n"/>
      <c r="Y864" s="55" t="n"/>
    </row>
    <row r="865">
      <c r="S865" s="55" t="n"/>
      <c r="T865" s="55" t="n"/>
      <c r="U865" s="55" t="n"/>
      <c r="V865" s="55" t="n"/>
      <c r="W865" s="55" t="n"/>
      <c r="X865" s="55" t="n"/>
      <c r="Y865" s="55" t="n"/>
    </row>
    <row r="866">
      <c r="S866" s="55" t="n"/>
      <c r="T866" s="55" t="n"/>
      <c r="U866" s="55" t="n"/>
      <c r="V866" s="55" t="n"/>
      <c r="W866" s="55" t="n"/>
      <c r="X866" s="55" t="n"/>
      <c r="Y866" s="55" t="n"/>
    </row>
    <row r="867">
      <c r="S867" s="55" t="n"/>
      <c r="T867" s="55" t="n"/>
      <c r="U867" s="55" t="n"/>
      <c r="V867" s="55" t="n"/>
      <c r="W867" s="55" t="n"/>
      <c r="X867" s="55" t="n"/>
      <c r="Y867" s="55" t="n"/>
    </row>
    <row r="868">
      <c r="S868" s="55" t="n"/>
      <c r="T868" s="55" t="n"/>
      <c r="U868" s="55" t="n"/>
      <c r="V868" s="55" t="n"/>
      <c r="W868" s="55" t="n"/>
      <c r="X868" s="55" t="n"/>
      <c r="Y868" s="55" t="n"/>
    </row>
    <row r="869">
      <c r="S869" s="55" t="n"/>
      <c r="T869" s="55" t="n"/>
      <c r="U869" s="55" t="n"/>
      <c r="V869" s="55" t="n"/>
      <c r="W869" s="55" t="n"/>
      <c r="X869" s="55" t="n"/>
      <c r="Y869" s="55" t="n"/>
    </row>
    <row r="870">
      <c r="S870" s="55" t="n"/>
      <c r="T870" s="55" t="n"/>
      <c r="U870" s="55" t="n"/>
      <c r="V870" s="55" t="n"/>
      <c r="W870" s="55" t="n"/>
      <c r="X870" s="55" t="n"/>
      <c r="Y870" s="55" t="n"/>
    </row>
    <row r="871">
      <c r="S871" s="55" t="n"/>
      <c r="T871" s="55" t="n"/>
      <c r="U871" s="55" t="n"/>
      <c r="V871" s="55" t="n"/>
      <c r="W871" s="55" t="n"/>
      <c r="X871" s="55" t="n"/>
      <c r="Y871" s="55" t="n"/>
    </row>
    <row r="872">
      <c r="S872" s="55" t="n"/>
      <c r="T872" s="55" t="n"/>
      <c r="U872" s="55" t="n"/>
      <c r="V872" s="55" t="n"/>
      <c r="W872" s="55" t="n"/>
      <c r="X872" s="55" t="n"/>
      <c r="Y872" s="55" t="n"/>
    </row>
    <row r="873">
      <c r="S873" s="55" t="n"/>
      <c r="T873" s="55" t="n"/>
      <c r="U873" s="55" t="n"/>
      <c r="V873" s="55" t="n"/>
      <c r="W873" s="55" t="n"/>
      <c r="X873" s="55" t="n"/>
      <c r="Y873" s="55" t="n"/>
    </row>
    <row r="874">
      <c r="S874" s="55" t="n"/>
      <c r="T874" s="55" t="n"/>
      <c r="U874" s="55" t="n"/>
      <c r="V874" s="55" t="n"/>
      <c r="W874" s="55" t="n"/>
      <c r="X874" s="55" t="n"/>
      <c r="Y874" s="55" t="n"/>
    </row>
    <row r="875">
      <c r="S875" s="55" t="n"/>
      <c r="T875" s="55" t="n"/>
      <c r="U875" s="55" t="n"/>
      <c r="V875" s="55" t="n"/>
      <c r="W875" s="55" t="n"/>
      <c r="X875" s="55" t="n"/>
      <c r="Y875" s="55" t="n"/>
    </row>
    <row r="876">
      <c r="S876" s="55" t="n"/>
      <c r="T876" s="55" t="n"/>
      <c r="U876" s="55" t="n"/>
      <c r="V876" s="55" t="n"/>
      <c r="W876" s="55" t="n"/>
      <c r="X876" s="55" t="n"/>
      <c r="Y876" s="55" t="n"/>
    </row>
    <row r="877">
      <c r="S877" s="55" t="n"/>
      <c r="T877" s="55" t="n"/>
      <c r="U877" s="55" t="n"/>
      <c r="V877" s="55" t="n"/>
      <c r="W877" s="55" t="n"/>
      <c r="X877" s="55" t="n"/>
      <c r="Y877" s="55" t="n"/>
    </row>
    <row r="878">
      <c r="S878" s="55" t="n"/>
      <c r="T878" s="55" t="n"/>
      <c r="U878" s="55" t="n"/>
      <c r="V878" s="55" t="n"/>
      <c r="W878" s="55" t="n"/>
      <c r="X878" s="55" t="n"/>
      <c r="Y878" s="55" t="n"/>
    </row>
    <row r="879">
      <c r="S879" s="55" t="n"/>
      <c r="T879" s="55" t="n"/>
      <c r="U879" s="55" t="n"/>
      <c r="V879" s="55" t="n"/>
      <c r="W879" s="55" t="n"/>
      <c r="X879" s="55" t="n"/>
      <c r="Y879" s="55" t="n"/>
    </row>
    <row r="880">
      <c r="S880" s="55" t="n"/>
      <c r="T880" s="55" t="n"/>
      <c r="U880" s="55" t="n"/>
      <c r="V880" s="55" t="n"/>
      <c r="W880" s="55" t="n"/>
      <c r="X880" s="55" t="n"/>
      <c r="Y880" s="55" t="n"/>
    </row>
    <row r="881">
      <c r="S881" s="55" t="n"/>
      <c r="T881" s="55" t="n"/>
      <c r="U881" s="55" t="n"/>
      <c r="V881" s="55" t="n"/>
      <c r="W881" s="55" t="n"/>
      <c r="X881" s="55" t="n"/>
      <c r="Y881" s="55" t="n"/>
    </row>
    <row r="882">
      <c r="S882" s="55" t="n"/>
      <c r="T882" s="55" t="n"/>
      <c r="U882" s="55" t="n"/>
      <c r="V882" s="55" t="n"/>
      <c r="W882" s="55" t="n"/>
      <c r="X882" s="55" t="n"/>
      <c r="Y882" s="55" t="n"/>
    </row>
    <row r="883">
      <c r="S883" s="55" t="n"/>
      <c r="T883" s="55" t="n"/>
      <c r="U883" s="55" t="n"/>
      <c r="V883" s="55" t="n"/>
      <c r="W883" s="55" t="n"/>
      <c r="X883" s="55" t="n"/>
      <c r="Y883" s="55" t="n"/>
    </row>
    <row r="884">
      <c r="S884" s="55" t="n"/>
      <c r="T884" s="55" t="n"/>
      <c r="U884" s="55" t="n"/>
      <c r="V884" s="55" t="n"/>
      <c r="W884" s="55" t="n"/>
      <c r="X884" s="55" t="n"/>
      <c r="Y884" s="55" t="n"/>
    </row>
    <row r="885">
      <c r="S885" s="55" t="n"/>
      <c r="T885" s="55" t="n"/>
      <c r="U885" s="55" t="n"/>
      <c r="V885" s="55" t="n"/>
      <c r="W885" s="55" t="n"/>
      <c r="X885" s="55" t="n"/>
      <c r="Y885" s="55" t="n"/>
    </row>
    <row r="886">
      <c r="S886" s="55" t="n"/>
      <c r="T886" s="55" t="n"/>
      <c r="U886" s="55" t="n"/>
      <c r="V886" s="55" t="n"/>
      <c r="W886" s="55" t="n"/>
      <c r="X886" s="55" t="n"/>
      <c r="Y886" s="55" t="n"/>
    </row>
    <row r="887">
      <c r="S887" s="55" t="n"/>
      <c r="T887" s="55" t="n"/>
      <c r="U887" s="55" t="n"/>
      <c r="V887" s="55" t="n"/>
      <c r="W887" s="55" t="n"/>
      <c r="X887" s="55" t="n"/>
      <c r="Y887" s="55" t="n"/>
    </row>
    <row r="888">
      <c r="S888" s="55" t="n"/>
      <c r="T888" s="55" t="n"/>
      <c r="U888" s="55" t="n"/>
      <c r="V888" s="55" t="n"/>
      <c r="W888" s="55" t="n"/>
      <c r="X888" s="55" t="n"/>
      <c r="Y888" s="55" t="n"/>
    </row>
    <row r="889">
      <c r="S889" s="55" t="n"/>
      <c r="T889" s="55" t="n"/>
      <c r="U889" s="55" t="n"/>
      <c r="V889" s="55" t="n"/>
      <c r="W889" s="55" t="n"/>
      <c r="X889" s="55" t="n"/>
      <c r="Y889" s="55" t="n"/>
    </row>
    <row r="890">
      <c r="S890" s="55" t="n"/>
      <c r="T890" s="55" t="n"/>
      <c r="U890" s="55" t="n"/>
      <c r="V890" s="55" t="n"/>
      <c r="W890" s="55" t="n"/>
      <c r="X890" s="55" t="n"/>
      <c r="Y890" s="55" t="n"/>
    </row>
    <row r="891">
      <c r="S891" s="55" t="n"/>
      <c r="T891" s="55" t="n"/>
      <c r="U891" s="55" t="n"/>
      <c r="V891" s="55" t="n"/>
      <c r="W891" s="55" t="n"/>
      <c r="X891" s="55" t="n"/>
      <c r="Y891" s="55" t="n"/>
    </row>
    <row r="892">
      <c r="S892" s="55" t="n"/>
      <c r="T892" s="55" t="n"/>
      <c r="U892" s="55" t="n"/>
      <c r="V892" s="55" t="n"/>
      <c r="W892" s="55" t="n"/>
      <c r="X892" s="55" t="n"/>
      <c r="Y892" s="55" t="n"/>
    </row>
    <row r="893">
      <c r="S893" s="55" t="n"/>
      <c r="T893" s="55" t="n"/>
      <c r="U893" s="55" t="n"/>
      <c r="V893" s="55" t="n"/>
      <c r="W893" s="55" t="n"/>
      <c r="X893" s="55" t="n"/>
      <c r="Y893" s="55" t="n"/>
    </row>
    <row r="894">
      <c r="S894" s="55" t="n"/>
      <c r="T894" s="55" t="n"/>
      <c r="U894" s="55" t="n"/>
      <c r="V894" s="55" t="n"/>
      <c r="W894" s="55" t="n"/>
      <c r="X894" s="55" t="n"/>
      <c r="Y894" s="55" t="n"/>
    </row>
    <row r="895">
      <c r="S895" s="55" t="n"/>
      <c r="T895" s="55" t="n"/>
      <c r="U895" s="55" t="n"/>
      <c r="V895" s="55" t="n"/>
      <c r="W895" s="55" t="n"/>
      <c r="X895" s="55" t="n"/>
      <c r="Y895" s="55" t="n"/>
    </row>
    <row r="896">
      <c r="S896" s="55" t="n"/>
      <c r="T896" s="55" t="n"/>
      <c r="U896" s="55" t="n"/>
      <c r="V896" s="55" t="n"/>
      <c r="W896" s="55" t="n"/>
      <c r="X896" s="55" t="n"/>
      <c r="Y896" s="55" t="n"/>
    </row>
    <row r="897">
      <c r="S897" s="55" t="n"/>
      <c r="T897" s="55" t="n"/>
      <c r="U897" s="55" t="n"/>
      <c r="V897" s="55" t="n"/>
      <c r="W897" s="55" t="n"/>
      <c r="X897" s="55" t="n"/>
      <c r="Y897" s="55" t="n"/>
    </row>
    <row r="898">
      <c r="S898" s="55" t="n"/>
      <c r="T898" s="55" t="n"/>
      <c r="U898" s="55" t="n"/>
      <c r="V898" s="55" t="n"/>
      <c r="W898" s="55" t="n"/>
      <c r="X898" s="55" t="n"/>
      <c r="Y898" s="55" t="n"/>
    </row>
    <row r="899">
      <c r="S899" s="55" t="n"/>
      <c r="T899" s="55" t="n"/>
      <c r="U899" s="55" t="n"/>
      <c r="V899" s="55" t="n"/>
      <c r="W899" s="55" t="n"/>
      <c r="X899" s="55" t="n"/>
      <c r="Y899" s="55" t="n"/>
    </row>
    <row r="900">
      <c r="S900" s="55" t="n"/>
      <c r="T900" s="55" t="n"/>
      <c r="U900" s="55" t="n"/>
      <c r="V900" s="55" t="n"/>
      <c r="W900" s="55" t="n"/>
      <c r="X900" s="55" t="n"/>
      <c r="Y900" s="55" t="n"/>
    </row>
    <row r="901">
      <c r="S901" s="55" t="n"/>
      <c r="T901" s="55" t="n"/>
      <c r="U901" s="55" t="n"/>
      <c r="V901" s="55" t="n"/>
      <c r="W901" s="55" t="n"/>
      <c r="X901" s="55" t="n"/>
      <c r="Y901" s="55" t="n"/>
    </row>
    <row r="902">
      <c r="S902" s="55" t="n"/>
      <c r="T902" s="55" t="n"/>
      <c r="U902" s="55" t="n"/>
      <c r="V902" s="55" t="n"/>
      <c r="W902" s="55" t="n"/>
      <c r="X902" s="55" t="n"/>
      <c r="Y902" s="55" t="n"/>
    </row>
    <row r="903">
      <c r="S903" s="55" t="n"/>
      <c r="T903" s="55" t="n"/>
      <c r="U903" s="55" t="n"/>
      <c r="V903" s="55" t="n"/>
      <c r="W903" s="55" t="n"/>
      <c r="X903" s="55" t="n"/>
      <c r="Y903" s="55" t="n"/>
    </row>
    <row r="904">
      <c r="S904" s="55" t="n"/>
      <c r="T904" s="55" t="n"/>
      <c r="U904" s="55" t="n"/>
      <c r="V904" s="55" t="n"/>
      <c r="W904" s="55" t="n"/>
      <c r="X904" s="55" t="n"/>
      <c r="Y904" s="55" t="n"/>
    </row>
    <row r="905">
      <c r="S905" s="55" t="n"/>
      <c r="T905" s="55" t="n"/>
      <c r="U905" s="55" t="n"/>
      <c r="V905" s="55" t="n"/>
      <c r="W905" s="55" t="n"/>
      <c r="X905" s="55" t="n"/>
      <c r="Y905" s="55" t="n"/>
    </row>
    <row r="906">
      <c r="S906" s="55" t="n"/>
      <c r="T906" s="55" t="n"/>
      <c r="U906" s="55" t="n"/>
      <c r="V906" s="55" t="n"/>
      <c r="W906" s="55" t="n"/>
      <c r="X906" s="55" t="n"/>
      <c r="Y906" s="55" t="n"/>
    </row>
    <row r="907">
      <c r="S907" s="55" t="n"/>
      <c r="T907" s="55" t="n"/>
      <c r="U907" s="55" t="n"/>
      <c r="V907" s="55" t="n"/>
      <c r="W907" s="55" t="n"/>
      <c r="X907" s="55" t="n"/>
      <c r="Y907" s="55" t="n"/>
    </row>
    <row r="908">
      <c r="S908" s="55" t="n"/>
      <c r="T908" s="55" t="n"/>
      <c r="U908" s="55" t="n"/>
      <c r="V908" s="55" t="n"/>
      <c r="W908" s="55" t="n"/>
      <c r="X908" s="55" t="n"/>
      <c r="Y908" s="55" t="n"/>
    </row>
    <row r="909">
      <c r="S909" s="55" t="n"/>
      <c r="T909" s="55" t="n"/>
      <c r="U909" s="55" t="n"/>
      <c r="V909" s="55" t="n"/>
      <c r="W909" s="55" t="n"/>
      <c r="X909" s="55" t="n"/>
      <c r="Y909" s="55" t="n"/>
    </row>
    <row r="910">
      <c r="S910" s="55" t="n"/>
      <c r="T910" s="55" t="n"/>
      <c r="U910" s="55" t="n"/>
      <c r="V910" s="55" t="n"/>
      <c r="W910" s="55" t="n"/>
      <c r="X910" s="55" t="n"/>
      <c r="Y910" s="55" t="n"/>
    </row>
    <row r="911">
      <c r="S911" s="55" t="n"/>
      <c r="T911" s="55" t="n"/>
      <c r="U911" s="55" t="n"/>
      <c r="V911" s="55" t="n"/>
      <c r="W911" s="55" t="n"/>
      <c r="X911" s="55" t="n"/>
      <c r="Y911" s="55" t="n"/>
    </row>
    <row r="912">
      <c r="S912" s="55" t="n"/>
      <c r="T912" s="55" t="n"/>
      <c r="U912" s="55" t="n"/>
      <c r="V912" s="55" t="n"/>
      <c r="W912" s="55" t="n"/>
      <c r="X912" s="55" t="n"/>
      <c r="Y912" s="55" t="n"/>
    </row>
    <row r="913">
      <c r="S913" s="55" t="n"/>
      <c r="T913" s="55" t="n"/>
      <c r="U913" s="55" t="n"/>
      <c r="V913" s="55" t="n"/>
      <c r="W913" s="55" t="n"/>
      <c r="X913" s="55" t="n"/>
      <c r="Y913" s="55" t="n"/>
    </row>
    <row r="914">
      <c r="S914" s="55" t="n"/>
      <c r="T914" s="55" t="n"/>
      <c r="U914" s="55" t="n"/>
      <c r="V914" s="55" t="n"/>
      <c r="W914" s="55" t="n"/>
      <c r="X914" s="55" t="n"/>
      <c r="Y914" s="55" t="n"/>
    </row>
    <row r="915">
      <c r="S915" s="55" t="n"/>
      <c r="T915" s="55" t="n"/>
      <c r="U915" s="55" t="n"/>
      <c r="V915" s="55" t="n"/>
      <c r="W915" s="55" t="n"/>
      <c r="X915" s="55" t="n"/>
      <c r="Y915" s="55" t="n"/>
    </row>
    <row r="916">
      <c r="S916" s="55" t="n"/>
      <c r="T916" s="55" t="n"/>
      <c r="U916" s="55" t="n"/>
      <c r="V916" s="55" t="n"/>
      <c r="W916" s="55" t="n"/>
      <c r="X916" s="55" t="n"/>
      <c r="Y916" s="55" t="n"/>
    </row>
    <row r="917">
      <c r="S917" s="55" t="n"/>
      <c r="T917" s="55" t="n"/>
      <c r="U917" s="55" t="n"/>
      <c r="V917" s="55" t="n"/>
      <c r="W917" s="55" t="n"/>
      <c r="X917" s="55" t="n"/>
      <c r="Y917" s="55" t="n"/>
    </row>
    <row r="918">
      <c r="S918" s="55" t="n"/>
      <c r="T918" s="55" t="n"/>
      <c r="U918" s="55" t="n"/>
      <c r="V918" s="55" t="n"/>
      <c r="W918" s="55" t="n"/>
      <c r="X918" s="55" t="n"/>
      <c r="Y918" s="55" t="n"/>
    </row>
    <row r="919">
      <c r="S919" s="55" t="n"/>
      <c r="T919" s="55" t="n"/>
      <c r="U919" s="55" t="n"/>
      <c r="V919" s="55" t="n"/>
      <c r="W919" s="55" t="n"/>
      <c r="X919" s="55" t="n"/>
      <c r="Y919" s="55" t="n"/>
    </row>
    <row r="920">
      <c r="S920" s="55" t="n"/>
      <c r="T920" s="55" t="n"/>
      <c r="U920" s="55" t="n"/>
      <c r="V920" s="55" t="n"/>
      <c r="W920" s="55" t="n"/>
      <c r="X920" s="55" t="n"/>
      <c r="Y920" s="55" t="n"/>
    </row>
    <row r="921">
      <c r="S921" s="55" t="n"/>
      <c r="T921" s="55" t="n"/>
      <c r="U921" s="55" t="n"/>
      <c r="V921" s="55" t="n"/>
      <c r="W921" s="55" t="n"/>
      <c r="X921" s="55" t="n"/>
      <c r="Y921" s="55" t="n"/>
    </row>
    <row r="922">
      <c r="S922" s="55" t="n"/>
      <c r="T922" s="55" t="n"/>
      <c r="U922" s="55" t="n"/>
      <c r="V922" s="55" t="n"/>
      <c r="W922" s="55" t="n"/>
      <c r="X922" s="55" t="n"/>
      <c r="Y922" s="55" t="n"/>
    </row>
    <row r="923">
      <c r="S923" s="55" t="n"/>
      <c r="T923" s="55" t="n"/>
      <c r="U923" s="55" t="n"/>
      <c r="V923" s="55" t="n"/>
      <c r="W923" s="55" t="n"/>
      <c r="X923" s="55" t="n"/>
      <c r="Y923" s="55" t="n"/>
    </row>
    <row r="924">
      <c r="S924" s="55" t="n"/>
      <c r="T924" s="55" t="n"/>
      <c r="U924" s="55" t="n"/>
      <c r="V924" s="55" t="n"/>
      <c r="W924" s="55" t="n"/>
      <c r="X924" s="55" t="n"/>
      <c r="Y924" s="55" t="n"/>
    </row>
    <row r="925">
      <c r="S925" s="55" t="n"/>
      <c r="T925" s="55" t="n"/>
      <c r="U925" s="55" t="n"/>
      <c r="V925" s="55" t="n"/>
      <c r="W925" s="55" t="n"/>
      <c r="X925" s="55" t="n"/>
      <c r="Y925" s="55" t="n"/>
    </row>
    <row r="926">
      <c r="S926" s="55" t="n"/>
      <c r="T926" s="55" t="n"/>
      <c r="U926" s="55" t="n"/>
      <c r="V926" s="55" t="n"/>
      <c r="W926" s="55" t="n"/>
      <c r="X926" s="55" t="n"/>
      <c r="Y926" s="55" t="n"/>
    </row>
    <row r="927">
      <c r="S927" s="55" t="n"/>
      <c r="T927" s="55" t="n"/>
      <c r="U927" s="55" t="n"/>
      <c r="V927" s="55" t="n"/>
      <c r="W927" s="55" t="n"/>
      <c r="X927" s="55" t="n"/>
      <c r="Y927" s="55" t="n"/>
    </row>
    <row r="928">
      <c r="S928" s="55" t="n"/>
      <c r="T928" s="55" t="n"/>
      <c r="U928" s="55" t="n"/>
      <c r="V928" s="55" t="n"/>
      <c r="W928" s="55" t="n"/>
      <c r="X928" s="55" t="n"/>
      <c r="Y928" s="55" t="n"/>
    </row>
    <row r="929">
      <c r="S929" s="55" t="n"/>
      <c r="T929" s="55" t="n"/>
      <c r="U929" s="55" t="n"/>
      <c r="V929" s="55" t="n"/>
      <c r="W929" s="55" t="n"/>
      <c r="X929" s="55" t="n"/>
      <c r="Y929" s="55" t="n"/>
    </row>
    <row r="930">
      <c r="S930" s="55" t="n"/>
      <c r="T930" s="55" t="n"/>
      <c r="U930" s="55" t="n"/>
      <c r="V930" s="55" t="n"/>
      <c r="W930" s="55" t="n"/>
      <c r="X930" s="55" t="n"/>
      <c r="Y930" s="55" t="n"/>
    </row>
    <row r="931">
      <c r="S931" s="55" t="n"/>
      <c r="T931" s="55" t="n"/>
      <c r="U931" s="55" t="n"/>
      <c r="V931" s="55" t="n"/>
      <c r="W931" s="55" t="n"/>
      <c r="X931" s="55" t="n"/>
      <c r="Y931" s="55" t="n"/>
    </row>
    <row r="932">
      <c r="S932" s="55" t="n"/>
      <c r="T932" s="55" t="n"/>
      <c r="U932" s="55" t="n"/>
      <c r="V932" s="55" t="n"/>
      <c r="W932" s="55" t="n"/>
      <c r="X932" s="55" t="n"/>
      <c r="Y932" s="55" t="n"/>
    </row>
    <row r="933">
      <c r="S933" s="55" t="n"/>
      <c r="T933" s="55" t="n"/>
      <c r="U933" s="55" t="n"/>
      <c r="V933" s="55" t="n"/>
      <c r="W933" s="55" t="n"/>
      <c r="X933" s="55" t="n"/>
      <c r="Y933" s="55" t="n"/>
    </row>
    <row r="934">
      <c r="S934" s="55" t="n"/>
      <c r="T934" s="55" t="n"/>
      <c r="U934" s="55" t="n"/>
      <c r="V934" s="55" t="n"/>
      <c r="W934" s="55" t="n"/>
      <c r="X934" s="55" t="n"/>
      <c r="Y934" s="55" t="n"/>
    </row>
    <row r="935">
      <c r="S935" s="55" t="n"/>
      <c r="T935" s="55" t="n"/>
      <c r="U935" s="55" t="n"/>
      <c r="V935" s="55" t="n"/>
      <c r="W935" s="55" t="n"/>
      <c r="X935" s="55" t="n"/>
      <c r="Y935" s="55" t="n"/>
    </row>
    <row r="936">
      <c r="S936" s="55" t="n"/>
      <c r="T936" s="55" t="n"/>
      <c r="U936" s="55" t="n"/>
      <c r="V936" s="55" t="n"/>
      <c r="W936" s="55" t="n"/>
      <c r="X936" s="55" t="n"/>
      <c r="Y936" s="55" t="n"/>
    </row>
    <row r="937">
      <c r="S937" s="55" t="n"/>
      <c r="T937" s="55" t="n"/>
      <c r="U937" s="55" t="n"/>
      <c r="V937" s="55" t="n"/>
      <c r="W937" s="55" t="n"/>
      <c r="X937" s="55" t="n"/>
      <c r="Y937" s="55" t="n"/>
    </row>
    <row r="938">
      <c r="S938" s="55" t="n"/>
      <c r="T938" s="55" t="n"/>
      <c r="U938" s="55" t="n"/>
      <c r="V938" s="55" t="n"/>
      <c r="W938" s="55" t="n"/>
      <c r="X938" s="55" t="n"/>
      <c r="Y938" s="55" t="n"/>
    </row>
    <row r="939">
      <c r="S939" s="55" t="n"/>
      <c r="T939" s="55" t="n"/>
      <c r="U939" s="55" t="n"/>
      <c r="V939" s="55" t="n"/>
      <c r="W939" s="55" t="n"/>
      <c r="X939" s="55" t="n"/>
      <c r="Y939" s="55" t="n"/>
    </row>
    <row r="940">
      <c r="S940" s="55" t="n"/>
      <c r="T940" s="55" t="n"/>
      <c r="U940" s="55" t="n"/>
      <c r="V940" s="55" t="n"/>
      <c r="W940" s="55" t="n"/>
      <c r="X940" s="55" t="n"/>
      <c r="Y940" s="55" t="n"/>
    </row>
    <row r="941">
      <c r="S941" s="55" t="n"/>
      <c r="T941" s="55" t="n"/>
      <c r="U941" s="55" t="n"/>
      <c r="V941" s="55" t="n"/>
      <c r="W941" s="55" t="n"/>
      <c r="X941" s="55" t="n"/>
      <c r="Y941" s="55" t="n"/>
    </row>
    <row r="942">
      <c r="S942" s="55" t="n"/>
      <c r="T942" s="55" t="n"/>
      <c r="U942" s="55" t="n"/>
      <c r="V942" s="55" t="n"/>
      <c r="W942" s="55" t="n"/>
      <c r="X942" s="55" t="n"/>
      <c r="Y942" s="55" t="n"/>
    </row>
    <row r="943">
      <c r="S943" s="55" t="n"/>
      <c r="T943" s="55" t="n"/>
      <c r="U943" s="55" t="n"/>
      <c r="V943" s="55" t="n"/>
      <c r="W943" s="55" t="n"/>
      <c r="X943" s="55" t="n"/>
      <c r="Y943" s="55" t="n"/>
    </row>
    <row r="944">
      <c r="S944" s="55" t="n"/>
      <c r="T944" s="55" t="n"/>
      <c r="U944" s="55" t="n"/>
      <c r="V944" s="55" t="n"/>
      <c r="W944" s="55" t="n"/>
      <c r="X944" s="55" t="n"/>
      <c r="Y944" s="55" t="n"/>
    </row>
    <row r="945">
      <c r="S945" s="55" t="n"/>
      <c r="T945" s="55" t="n"/>
      <c r="U945" s="55" t="n"/>
      <c r="V945" s="55" t="n"/>
      <c r="W945" s="55" t="n"/>
      <c r="X945" s="55" t="n"/>
      <c r="Y945" s="55" t="n"/>
    </row>
    <row r="946">
      <c r="S946" s="55" t="n"/>
      <c r="T946" s="55" t="n"/>
      <c r="U946" s="55" t="n"/>
      <c r="V946" s="55" t="n"/>
      <c r="W946" s="55" t="n"/>
      <c r="X946" s="55" t="n"/>
      <c r="Y946" s="55" t="n"/>
    </row>
    <row r="947">
      <c r="S947" s="55" t="n"/>
      <c r="T947" s="55" t="n"/>
      <c r="U947" s="55" t="n"/>
      <c r="V947" s="55" t="n"/>
      <c r="W947" s="55" t="n"/>
      <c r="X947" s="55" t="n"/>
      <c r="Y947" s="55" t="n"/>
    </row>
    <row r="948">
      <c r="S948" s="55" t="n"/>
      <c r="T948" s="55" t="n"/>
      <c r="U948" s="55" t="n"/>
      <c r="V948" s="55" t="n"/>
      <c r="W948" s="55" t="n"/>
      <c r="X948" s="55" t="n"/>
      <c r="Y948" s="55" t="n"/>
    </row>
    <row r="949">
      <c r="S949" s="55" t="n"/>
      <c r="T949" s="55" t="n"/>
      <c r="U949" s="55" t="n"/>
      <c r="V949" s="55" t="n"/>
      <c r="W949" s="55" t="n"/>
      <c r="X949" s="55" t="n"/>
      <c r="Y949" s="55" t="n"/>
    </row>
    <row r="950">
      <c r="S950" s="55" t="n"/>
      <c r="T950" s="55" t="n"/>
      <c r="U950" s="55" t="n"/>
      <c r="V950" s="55" t="n"/>
      <c r="W950" s="55" t="n"/>
      <c r="X950" s="55" t="n"/>
      <c r="Y950" s="55" t="n"/>
    </row>
    <row r="951">
      <c r="S951" s="55" t="n"/>
      <c r="T951" s="55" t="n"/>
      <c r="U951" s="55" t="n"/>
      <c r="V951" s="55" t="n"/>
      <c r="W951" s="55" t="n"/>
      <c r="X951" s="55" t="n"/>
      <c r="Y951" s="55" t="n"/>
    </row>
    <row r="952">
      <c r="S952" s="55" t="n"/>
      <c r="T952" s="55" t="n"/>
      <c r="U952" s="55" t="n"/>
      <c r="V952" s="55" t="n"/>
      <c r="W952" s="55" t="n"/>
      <c r="X952" s="55" t="n"/>
      <c r="Y952" s="55" t="n"/>
    </row>
    <row r="953">
      <c r="S953" s="55" t="n"/>
      <c r="T953" s="55" t="n"/>
      <c r="U953" s="55" t="n"/>
      <c r="V953" s="55" t="n"/>
      <c r="W953" s="55" t="n"/>
      <c r="X953" s="55" t="n"/>
      <c r="Y953" s="55" t="n"/>
    </row>
    <row r="954">
      <c r="S954" s="55" t="n"/>
      <c r="T954" s="55" t="n"/>
      <c r="U954" s="55" t="n"/>
      <c r="V954" s="55" t="n"/>
      <c r="W954" s="55" t="n"/>
      <c r="X954" s="55" t="n"/>
      <c r="Y954" s="55" t="n"/>
    </row>
    <row r="955">
      <c r="S955" s="55" t="n"/>
      <c r="T955" s="55" t="n"/>
      <c r="U955" s="55" t="n"/>
      <c r="V955" s="55" t="n"/>
      <c r="W955" s="55" t="n"/>
      <c r="X955" s="55" t="n"/>
      <c r="Y955" s="55" t="n"/>
    </row>
    <row r="956">
      <c r="S956" s="55" t="n"/>
      <c r="T956" s="55" t="n"/>
      <c r="U956" s="55" t="n"/>
      <c r="V956" s="55" t="n"/>
      <c r="W956" s="55" t="n"/>
      <c r="X956" s="55" t="n"/>
      <c r="Y956" s="55" t="n"/>
    </row>
    <row r="957">
      <c r="S957" s="55" t="n"/>
      <c r="T957" s="55" t="n"/>
      <c r="U957" s="55" t="n"/>
      <c r="V957" s="55" t="n"/>
      <c r="W957" s="55" t="n"/>
      <c r="X957" s="55" t="n"/>
      <c r="Y957" s="55" t="n"/>
    </row>
    <row r="958">
      <c r="S958" s="55" t="n"/>
      <c r="T958" s="55" t="n"/>
      <c r="U958" s="55" t="n"/>
      <c r="V958" s="55" t="n"/>
      <c r="W958" s="55" t="n"/>
      <c r="X958" s="55" t="n"/>
      <c r="Y958" s="55" t="n"/>
    </row>
    <row r="959">
      <c r="S959" s="55" t="n"/>
      <c r="T959" s="55" t="n"/>
      <c r="U959" s="55" t="n"/>
      <c r="V959" s="55" t="n"/>
      <c r="W959" s="55" t="n"/>
      <c r="X959" s="55" t="n"/>
      <c r="Y959" s="55" t="n"/>
    </row>
    <row r="960">
      <c r="S960" s="55" t="n"/>
      <c r="T960" s="55" t="n"/>
      <c r="U960" s="55" t="n"/>
      <c r="V960" s="55" t="n"/>
      <c r="W960" s="55" t="n"/>
      <c r="X960" s="55" t="n"/>
      <c r="Y960" s="55" t="n"/>
    </row>
    <row r="961">
      <c r="S961" s="55" t="n"/>
      <c r="T961" s="55" t="n"/>
      <c r="U961" s="55" t="n"/>
      <c r="V961" s="55" t="n"/>
      <c r="W961" s="55" t="n"/>
      <c r="X961" s="55" t="n"/>
      <c r="Y961" s="55" t="n"/>
    </row>
    <row r="962">
      <c r="S962" s="55" t="n"/>
      <c r="T962" s="55" t="n"/>
      <c r="U962" s="55" t="n"/>
      <c r="V962" s="55" t="n"/>
      <c r="W962" s="55" t="n"/>
      <c r="X962" s="55" t="n"/>
      <c r="Y962" s="55" t="n"/>
    </row>
    <row r="963">
      <c r="S963" s="55" t="n"/>
      <c r="T963" s="55" t="n"/>
      <c r="U963" s="55" t="n"/>
      <c r="V963" s="55" t="n"/>
      <c r="W963" s="55" t="n"/>
      <c r="X963" s="55" t="n"/>
      <c r="Y963" s="55" t="n"/>
    </row>
    <row r="964">
      <c r="S964" s="55" t="n"/>
      <c r="T964" s="55" t="n"/>
      <c r="U964" s="55" t="n"/>
      <c r="V964" s="55" t="n"/>
      <c r="W964" s="55" t="n"/>
      <c r="X964" s="55" t="n"/>
      <c r="Y964" s="55" t="n"/>
    </row>
    <row r="965">
      <c r="S965" s="55" t="n"/>
      <c r="T965" s="55" t="n"/>
      <c r="U965" s="55" t="n"/>
      <c r="V965" s="55" t="n"/>
      <c r="W965" s="55" t="n"/>
      <c r="X965" s="55" t="n"/>
      <c r="Y965" s="55" t="n"/>
    </row>
    <row r="966">
      <c r="S966" s="55" t="n"/>
      <c r="T966" s="55" t="n"/>
      <c r="U966" s="55" t="n"/>
      <c r="V966" s="55" t="n"/>
      <c r="W966" s="55" t="n"/>
      <c r="X966" s="55" t="n"/>
      <c r="Y966" s="55" t="n"/>
    </row>
    <row r="967">
      <c r="S967" s="55" t="n"/>
      <c r="T967" s="55" t="n"/>
      <c r="U967" s="55" t="n"/>
      <c r="V967" s="55" t="n"/>
      <c r="W967" s="55" t="n"/>
      <c r="X967" s="55" t="n"/>
      <c r="Y967" s="55" t="n"/>
    </row>
    <row r="968">
      <c r="S968" s="55" t="n"/>
      <c r="T968" s="55" t="n"/>
      <c r="U968" s="55" t="n"/>
      <c r="V968" s="55" t="n"/>
      <c r="W968" s="55" t="n"/>
      <c r="X968" s="55" t="n"/>
      <c r="Y968" s="55" t="n"/>
    </row>
    <row r="969">
      <c r="S969" s="55" t="n"/>
      <c r="T969" s="55" t="n"/>
      <c r="U969" s="55" t="n"/>
      <c r="V969" s="55" t="n"/>
      <c r="W969" s="55" t="n"/>
      <c r="X969" s="55" t="n"/>
      <c r="Y969" s="55" t="n"/>
    </row>
    <row r="970">
      <c r="S970" s="55" t="n"/>
      <c r="T970" s="55" t="n"/>
      <c r="U970" s="55" t="n"/>
      <c r="V970" s="55" t="n"/>
      <c r="W970" s="55" t="n"/>
      <c r="X970" s="55" t="n"/>
      <c r="Y970" s="55" t="n"/>
    </row>
    <row r="971">
      <c r="S971" s="55" t="n"/>
      <c r="T971" s="55" t="n"/>
      <c r="U971" s="55" t="n"/>
      <c r="V971" s="55" t="n"/>
      <c r="W971" s="55" t="n"/>
      <c r="X971" s="55" t="n"/>
      <c r="Y971" s="55" t="n"/>
    </row>
    <row r="972">
      <c r="S972" s="55" t="n"/>
      <c r="T972" s="55" t="n"/>
      <c r="U972" s="55" t="n"/>
      <c r="V972" s="55" t="n"/>
      <c r="W972" s="55" t="n"/>
      <c r="X972" s="55" t="n"/>
      <c r="Y972" s="55" t="n"/>
    </row>
    <row r="973">
      <c r="S973" s="55" t="n"/>
      <c r="T973" s="55" t="n"/>
      <c r="U973" s="55" t="n"/>
      <c r="V973" s="55" t="n"/>
      <c r="W973" s="55" t="n"/>
      <c r="X973" s="55" t="n"/>
      <c r="Y973" s="55" t="n"/>
    </row>
    <row r="974">
      <c r="S974" s="55" t="n"/>
      <c r="T974" s="55" t="n"/>
      <c r="U974" s="55" t="n"/>
      <c r="V974" s="55" t="n"/>
      <c r="W974" s="55" t="n"/>
      <c r="X974" s="55" t="n"/>
      <c r="Y974" s="55" t="n"/>
    </row>
    <row r="975">
      <c r="S975" s="55" t="n"/>
      <c r="T975" s="55" t="n"/>
      <c r="U975" s="55" t="n"/>
      <c r="V975" s="55" t="n"/>
      <c r="W975" s="55" t="n"/>
      <c r="X975" s="55" t="n"/>
      <c r="Y975" s="55" t="n"/>
    </row>
    <row r="976">
      <c r="S976" s="55" t="n"/>
      <c r="T976" s="55" t="n"/>
      <c r="U976" s="55" t="n"/>
      <c r="V976" s="55" t="n"/>
      <c r="W976" s="55" t="n"/>
      <c r="X976" s="55" t="n"/>
      <c r="Y976" s="55" t="n"/>
    </row>
    <row r="977">
      <c r="S977" s="55" t="n"/>
      <c r="T977" s="55" t="n"/>
      <c r="U977" s="55" t="n"/>
      <c r="V977" s="55" t="n"/>
      <c r="W977" s="55" t="n"/>
      <c r="X977" s="55" t="n"/>
      <c r="Y977" s="55" t="n"/>
    </row>
    <row r="978">
      <c r="S978" s="55" t="n"/>
      <c r="T978" s="55" t="n"/>
      <c r="U978" s="55" t="n"/>
      <c r="V978" s="55" t="n"/>
      <c r="W978" s="55" t="n"/>
      <c r="X978" s="55" t="n"/>
      <c r="Y978" s="55" t="n"/>
    </row>
    <row r="979">
      <c r="S979" s="55" t="n"/>
      <c r="T979" s="55" t="n"/>
      <c r="U979" s="55" t="n"/>
      <c r="V979" s="55" t="n"/>
      <c r="W979" s="55" t="n"/>
      <c r="X979" s="55" t="n"/>
      <c r="Y979" s="55" t="n"/>
    </row>
    <row r="980">
      <c r="S980" s="55" t="n"/>
      <c r="T980" s="55" t="n"/>
      <c r="U980" s="55" t="n"/>
      <c r="V980" s="55" t="n"/>
      <c r="W980" s="55" t="n"/>
      <c r="X980" s="55" t="n"/>
      <c r="Y980" s="55" t="n"/>
    </row>
    <row r="981">
      <c r="S981" s="55" t="n"/>
      <c r="T981" s="55" t="n"/>
      <c r="U981" s="55" t="n"/>
      <c r="V981" s="55" t="n"/>
      <c r="W981" s="55" t="n"/>
      <c r="X981" s="55" t="n"/>
      <c r="Y981" s="55" t="n"/>
    </row>
    <row r="982">
      <c r="S982" s="55" t="n"/>
      <c r="T982" s="55" t="n"/>
      <c r="U982" s="55" t="n"/>
      <c r="V982" s="55" t="n"/>
      <c r="W982" s="55" t="n"/>
      <c r="X982" s="55" t="n"/>
      <c r="Y982" s="55" t="n"/>
    </row>
    <row r="983">
      <c r="S983" s="55" t="n"/>
      <c r="T983" s="55" t="n"/>
      <c r="U983" s="55" t="n"/>
      <c r="V983" s="55" t="n"/>
      <c r="W983" s="55" t="n"/>
      <c r="X983" s="55" t="n"/>
      <c r="Y983" s="55" t="n"/>
    </row>
    <row r="984">
      <c r="S984" s="55" t="n"/>
      <c r="T984" s="55" t="n"/>
      <c r="U984" s="55" t="n"/>
      <c r="V984" s="55" t="n"/>
      <c r="W984" s="55" t="n"/>
      <c r="X984" s="55" t="n"/>
      <c r="Y984" s="55" t="n"/>
    </row>
    <row r="985">
      <c r="S985" s="55" t="n"/>
      <c r="T985" s="55" t="n"/>
      <c r="U985" s="55" t="n"/>
      <c r="V985" s="55" t="n"/>
      <c r="W985" s="55" t="n"/>
      <c r="X985" s="55" t="n"/>
      <c r="Y985" s="55" t="n"/>
    </row>
    <row r="986">
      <c r="S986" s="55" t="n"/>
      <c r="T986" s="55" t="n"/>
      <c r="U986" s="55" t="n"/>
      <c r="V986" s="55" t="n"/>
      <c r="W986" s="55" t="n"/>
      <c r="X986" s="55" t="n"/>
      <c r="Y986" s="55" t="n"/>
    </row>
    <row r="987">
      <c r="S987" s="55" t="n"/>
      <c r="T987" s="55" t="n"/>
      <c r="U987" s="55" t="n"/>
      <c r="V987" s="55" t="n"/>
      <c r="W987" s="55" t="n"/>
      <c r="X987" s="55" t="n"/>
      <c r="Y987" s="55" t="n"/>
    </row>
    <row r="988">
      <c r="S988" s="55" t="n"/>
      <c r="T988" s="55" t="n"/>
      <c r="U988" s="55" t="n"/>
      <c r="V988" s="55" t="n"/>
      <c r="W988" s="55" t="n"/>
      <c r="X988" s="55" t="n"/>
      <c r="Y988" s="55" t="n"/>
    </row>
    <row r="989">
      <c r="S989" s="55" t="n"/>
      <c r="T989" s="55" t="n"/>
      <c r="U989" s="55" t="n"/>
      <c r="V989" s="55" t="n"/>
      <c r="W989" s="55" t="n"/>
      <c r="X989" s="55" t="n"/>
      <c r="Y989" s="55" t="n"/>
    </row>
    <row r="990">
      <c r="S990" s="55" t="n"/>
      <c r="T990" s="55" t="n"/>
      <c r="U990" s="55" t="n"/>
      <c r="V990" s="55" t="n"/>
      <c r="W990" s="55" t="n"/>
      <c r="X990" s="55" t="n"/>
      <c r="Y990" s="55" t="n"/>
    </row>
    <row r="991">
      <c r="S991" s="55" t="n"/>
      <c r="T991" s="55" t="n"/>
      <c r="U991" s="55" t="n"/>
      <c r="V991" s="55" t="n"/>
      <c r="W991" s="55" t="n"/>
      <c r="X991" s="55" t="n"/>
      <c r="Y991" s="55" t="n"/>
    </row>
    <row r="992">
      <c r="S992" s="55" t="n"/>
      <c r="T992" s="55" t="n"/>
      <c r="U992" s="55" t="n"/>
      <c r="V992" s="55" t="n"/>
      <c r="W992" s="55" t="n"/>
      <c r="X992" s="55" t="n"/>
      <c r="Y992" s="55" t="n"/>
    </row>
    <row r="993">
      <c r="S993" s="55" t="n"/>
      <c r="T993" s="55" t="n"/>
      <c r="U993" s="55" t="n"/>
      <c r="V993" s="55" t="n"/>
      <c r="W993" s="55" t="n"/>
      <c r="X993" s="55" t="n"/>
      <c r="Y993" s="55" t="n"/>
    </row>
    <row r="994">
      <c r="S994" s="55" t="n"/>
      <c r="T994" s="55" t="n"/>
      <c r="U994" s="55" t="n"/>
      <c r="V994" s="55" t="n"/>
      <c r="W994" s="55" t="n"/>
      <c r="X994" s="55" t="n"/>
      <c r="Y994" s="55" t="n"/>
    </row>
    <row r="995">
      <c r="S995" s="55" t="n"/>
      <c r="T995" s="55" t="n"/>
      <c r="U995" s="55" t="n"/>
      <c r="V995" s="55" t="n"/>
      <c r="W995" s="55" t="n"/>
      <c r="X995" s="55" t="n"/>
      <c r="Y995" s="55" t="n"/>
    </row>
    <row r="996">
      <c r="S996" s="55" t="n"/>
      <c r="T996" s="55" t="n"/>
      <c r="U996" s="55" t="n"/>
      <c r="V996" s="55" t="n"/>
      <c r="W996" s="55" t="n"/>
      <c r="X996" s="55" t="n"/>
      <c r="Y996" s="55" t="n"/>
    </row>
    <row r="997">
      <c r="S997" s="55" t="n"/>
      <c r="T997" s="55" t="n"/>
      <c r="U997" s="55" t="n"/>
      <c r="V997" s="55" t="n"/>
      <c r="W997" s="55" t="n"/>
      <c r="X997" s="55" t="n"/>
      <c r="Y997" s="55" t="n"/>
    </row>
    <row r="998">
      <c r="S998" s="55" t="n"/>
      <c r="T998" s="55" t="n"/>
      <c r="U998" s="55" t="n"/>
      <c r="V998" s="55" t="n"/>
      <c r="W998" s="55" t="n"/>
      <c r="X998" s="55" t="n"/>
      <c r="Y998" s="55" t="n"/>
    </row>
    <row r="999">
      <c r="S999" s="55" t="n"/>
      <c r="T999" s="55" t="n"/>
      <c r="U999" s="55" t="n"/>
      <c r="V999" s="55" t="n"/>
      <c r="W999" s="55" t="n"/>
      <c r="X999" s="55" t="n"/>
      <c r="Y999" s="55" t="n"/>
    </row>
    <row r="1000">
      <c r="S1000" s="55" t="n"/>
      <c r="T1000" s="55" t="n"/>
      <c r="U1000" s="55" t="n"/>
      <c r="V1000" s="55" t="n"/>
      <c r="W1000" s="55" t="n"/>
      <c r="X1000" s="55" t="n"/>
      <c r="Y1000" s="55"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3:I26"/>
  <sheetViews>
    <sheetView workbookViewId="0">
      <selection activeCell="A1" sqref="A1"/>
    </sheetView>
  </sheetViews>
  <sheetFormatPr baseColWidth="8" defaultColWidth="12.63" defaultRowHeight="15.75" customHeight="1"/>
  <cols>
    <col width="12.63" customWidth="1" style="59" min="1" max="2"/>
    <col width="27.5" customWidth="1" style="59" min="4" max="4"/>
    <col width="12.5" customWidth="1" style="59" min="5" max="5"/>
  </cols>
  <sheetData>
    <row r="1" ht="225" customHeight="1" s="59"/>
    <row r="3">
      <c r="C3" s="19" t="n"/>
    </row>
    <row r="6" ht="22.5" customHeight="1" s="59">
      <c r="A6" s="31" t="inlineStr">
        <is>
          <t>Year</t>
        </is>
      </c>
      <c r="B6" s="31" t="inlineStr">
        <is>
          <t>Count</t>
        </is>
      </c>
      <c r="D6" s="31" t="inlineStr">
        <is>
          <t>Standardized Journal</t>
        </is>
      </c>
      <c r="E6" s="31" t="inlineStr">
        <is>
          <t>Count</t>
        </is>
      </c>
    </row>
    <row r="7" ht="22.5" customHeight="1" s="59">
      <c r="A7" s="34" t="n">
        <v>2021</v>
      </c>
      <c r="B7" s="34" t="n">
        <v>1</v>
      </c>
      <c r="D7" s="34" t="inlineStr">
        <is>
          <t>MDPI Journals</t>
        </is>
      </c>
      <c r="E7" s="34" t="n">
        <v>9</v>
      </c>
      <c r="H7" s="19">
        <f t="array" ref="H7:H11">UNIQUE(Sheet3!R2:R48)</f>
        <v/>
      </c>
      <c r="I7" s="35">
        <f>COUNTIF(Sheet3!$R$2:$R$48,H7)</f>
        <v/>
      </c>
    </row>
    <row r="8" ht="22.5" customHeight="1" s="59">
      <c r="A8" s="34" t="n">
        <v>2023</v>
      </c>
      <c r="B8" s="34" t="n">
        <v>2</v>
      </c>
      <c r="D8" s="34" t="inlineStr">
        <is>
          <t>BMC Oral Health</t>
        </is>
      </c>
      <c r="E8" s="34" t="n">
        <v>8</v>
      </c>
      <c r="H8" s="19" t="inlineStr">
        <is>
          <t>C2 – Periodontal Disease &amp; Bone Loss</t>
        </is>
      </c>
      <c r="I8" s="35">
        <f>COUNTIF(Sheet3!$R$2:$R$48,H8)</f>
        <v/>
      </c>
    </row>
    <row r="9" ht="22.5" customHeight="1" s="59">
      <c r="A9" s="34" t="n">
        <v>2024</v>
      </c>
      <c r="B9" s="34" t="n">
        <v>17</v>
      </c>
      <c r="D9" s="34" t="inlineStr">
        <is>
          <t>IEEE</t>
        </is>
      </c>
      <c r="E9" s="34" t="n">
        <v>8</v>
      </c>
      <c r="H9" s="19" t="inlineStr">
        <is>
          <t>C3 – Multi-task / End-to-End OPG Diagnosis</t>
        </is>
      </c>
      <c r="I9" s="35">
        <f>COUNTIF(Sheet3!$R$2:$R$48,H9)</f>
        <v/>
      </c>
    </row>
    <row r="10" ht="22.5" customHeight="1" s="59">
      <c r="A10" s="34" t="n">
        <v>2025</v>
      </c>
      <c r="B10" s="34" t="n">
        <v>25</v>
      </c>
      <c r="D10" s="34" t="inlineStr">
        <is>
          <t>Elsevier Journals</t>
        </is>
      </c>
      <c r="E10" s="34" t="n">
        <v>4</v>
      </c>
      <c r="H10" s="19" t="inlineStr">
        <is>
          <t>C5 – Datasets &amp; Clinical Validation</t>
        </is>
      </c>
      <c r="I10" s="35">
        <f>COUNTIF(Sheet3!$R$2:$R$48,H10)</f>
        <v/>
      </c>
    </row>
    <row r="11" ht="22.5" customHeight="1" s="59">
      <c r="A11" s="34" t="n">
        <v>2026</v>
      </c>
      <c r="B11" s="34" t="n">
        <v>2</v>
      </c>
      <c r="D11" s="34" t="inlineStr">
        <is>
          <t>Springer Journals</t>
        </is>
      </c>
      <c r="E11" s="34" t="n">
        <v>3</v>
      </c>
      <c r="H11" s="19" t="inlineStr">
        <is>
          <t>C6 – Tooth Segmentation &amp; Numbering</t>
        </is>
      </c>
      <c r="I11" s="35">
        <f>COUNTIF(Sheet3!$R$2:$R$48,H11)</f>
        <v/>
      </c>
    </row>
    <row r="12">
      <c r="H12" s="45" t="inlineStr">
        <is>
          <t>C4 - Explainable AI for Dental Disease Diagnosis</t>
        </is>
      </c>
      <c r="I12" s="35" t="n">
        <v>0</v>
      </c>
    </row>
    <row r="13">
      <c r="H13" s="45" t="n"/>
    </row>
    <row r="14">
      <c r="H14" s="45" t="n"/>
    </row>
    <row r="15">
      <c r="H15" s="45" t="n"/>
    </row>
    <row r="16">
      <c r="H16" s="45" t="n"/>
    </row>
    <row r="17">
      <c r="H17" s="45" t="n"/>
    </row>
    <row r="18">
      <c r="H18" s="45" t="n"/>
    </row>
    <row r="19">
      <c r="H19" s="45" t="n"/>
    </row>
    <row r="20">
      <c r="H20" s="45" t="n"/>
    </row>
    <row r="21">
      <c r="H21" s="45" t="n"/>
    </row>
    <row r="22">
      <c r="H22" s="45" t="n"/>
    </row>
    <row r="23">
      <c r="H23" s="45" t="n"/>
    </row>
    <row r="24">
      <c r="H24" s="45" t="n"/>
    </row>
    <row r="25">
      <c r="H25" s="45" t="n"/>
    </row>
    <row r="26">
      <c r="H26" s="45" t="n"/>
    </row>
  </sheetData>
  <dataValidations count="1">
    <dataValidation sqref="A7:B11 E7:E11" showDropDown="1" showInputMessage="0" showErrorMessage="0" allowBlank="1" type="custom">
      <formula1>AND(ISNUMBER(A7),(NOT(OR(NOT(ISERROR(DATEVALUE(A7))), AND(ISNUMBER(A7), LEFT(CELL("format", A7))="D")))))</formula1>
    </dataValidation>
  </dataValidations>
  <pageMargins left="0.75" right="0.75" top="1" bottom="1" header="0.5" footer="0.5"/>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outlinePr summaryBelow="0" summaryRight="0"/>
    <pageSetUpPr/>
  </sheetPr>
  <dimension ref="A3:B27"/>
  <sheetViews>
    <sheetView workbookViewId="0">
      <selection activeCell="A1" sqref="A1"/>
    </sheetView>
  </sheetViews>
  <sheetFormatPr baseColWidth="8" defaultColWidth="12.63" defaultRowHeight="15.75" customHeight="1"/>
  <cols>
    <col width="12.63" customWidth="1" style="59" min="1" max="2"/>
  </cols>
  <sheetData>
    <row r="1" ht="225" customHeight="1" s="59"/>
    <row r="3" ht="22.5" customHeight="1" s="59">
      <c r="A3" s="31" t="inlineStr">
        <is>
          <t>Standardized Journal</t>
        </is>
      </c>
      <c r="B3" s="31" t="inlineStr">
        <is>
          <t>Count</t>
        </is>
      </c>
    </row>
    <row r="4" ht="22.5" customHeight="1" s="59">
      <c r="A4" s="34" t="inlineStr">
        <is>
          <t>MDPI Journals</t>
        </is>
      </c>
      <c r="B4" s="34" t="n">
        <v>9</v>
      </c>
    </row>
    <row r="5" ht="22.5" customHeight="1" s="59">
      <c r="A5" s="34" t="inlineStr">
        <is>
          <t>BMC Oral Health</t>
        </is>
      </c>
      <c r="B5" s="34" t="n">
        <v>8</v>
      </c>
    </row>
    <row r="6" ht="22.5" customHeight="1" s="59">
      <c r="A6" s="34" t="inlineStr">
        <is>
          <t>IEEE</t>
        </is>
      </c>
      <c r="B6" s="34" t="n">
        <v>8</v>
      </c>
    </row>
    <row r="7" ht="22.5" customHeight="1" s="59">
      <c r="A7" s="34" t="inlineStr">
        <is>
          <t>Elsevier Journals</t>
        </is>
      </c>
      <c r="B7" s="34" t="n">
        <v>4</v>
      </c>
    </row>
    <row r="8" ht="22.5" customHeight="1" s="59">
      <c r="A8" s="34" t="inlineStr">
        <is>
          <t>Springer Journals</t>
        </is>
      </c>
      <c r="B8" s="34" t="n">
        <v>3</v>
      </c>
    </row>
    <row r="10" ht="22.5" customHeight="1" s="59">
      <c r="A10" s="31" t="inlineStr">
        <is>
          <t>Standardized Journal</t>
        </is>
      </c>
      <c r="B10" s="31" t="inlineStr">
        <is>
          <t>Count</t>
        </is>
      </c>
    </row>
    <row r="11" ht="22.5" customHeight="1" s="59">
      <c r="A11" s="34" t="inlineStr">
        <is>
          <t>BMC Oral Health</t>
        </is>
      </c>
      <c r="B11" s="34" t="n">
        <v>8</v>
      </c>
    </row>
    <row r="12" ht="22.5" customHeight="1" s="59">
      <c r="A12" s="34" t="inlineStr">
        <is>
          <t>Dentomaxillofacial Radiology</t>
        </is>
      </c>
      <c r="B12" s="34" t="n">
        <v>2</v>
      </c>
    </row>
    <row r="13" ht="22.5" customHeight="1" s="59">
      <c r="A13" s="34" t="inlineStr">
        <is>
          <t>Elsevier Journals</t>
        </is>
      </c>
      <c r="B13" s="34" t="n">
        <v>4</v>
      </c>
    </row>
    <row r="14" ht="22.5" customHeight="1" s="59">
      <c r="A14" s="34" t="inlineStr">
        <is>
          <t>Frontiers Journals</t>
        </is>
      </c>
      <c r="B14" s="34" t="n">
        <v>1</v>
      </c>
    </row>
    <row r="15" ht="22.5" customHeight="1" s="59">
      <c r="A15" s="34" t="inlineStr">
        <is>
          <t>IEEE</t>
        </is>
      </c>
      <c r="B15" s="34" t="n">
        <v>8</v>
      </c>
    </row>
    <row r="16" ht="22.5" customHeight="1" s="59">
      <c r="A16" s="34" t="inlineStr">
        <is>
          <t>Journal of Dental Research</t>
        </is>
      </c>
      <c r="B16" s="34" t="n">
        <v>1</v>
      </c>
    </row>
    <row r="17" ht="22.5" customHeight="1" s="59">
      <c r="A17" s="34" t="inlineStr">
        <is>
          <t>MDPI Journals</t>
        </is>
      </c>
      <c r="B17" s="34" t="n">
        <v>9</v>
      </c>
    </row>
    <row r="18" ht="22.5" customHeight="1" s="59">
      <c r="A18" s="34" t="inlineStr">
        <is>
          <t>PLoS Journals</t>
        </is>
      </c>
      <c r="B18" s="34" t="n">
        <v>1</v>
      </c>
    </row>
    <row r="19" ht="22.5" customHeight="1" s="59">
      <c r="A19" s="34" t="inlineStr">
        <is>
          <t>Scientific Reports (Nature Portfolio)</t>
        </is>
      </c>
      <c r="B19" s="34" t="n">
        <v>3</v>
      </c>
    </row>
    <row r="20" ht="22.5" customHeight="1" s="59">
      <c r="A20" s="34" t="inlineStr">
        <is>
          <t>Springer Journals</t>
        </is>
      </c>
      <c r="B20" s="34" t="n">
        <v>3</v>
      </c>
    </row>
    <row r="21" ht="22.5" customHeight="1" s="59">
      <c r="A21" s="34" t="inlineStr">
        <is>
          <t>arxiv</t>
        </is>
      </c>
      <c r="B21" s="34" t="n">
        <v>1</v>
      </c>
    </row>
    <row r="22" ht="22.5" customHeight="1" s="59">
      <c r="A22" s="34" t="inlineStr">
        <is>
          <t>arxiv / survey</t>
        </is>
      </c>
      <c r="B22" s="34" t="n">
        <v>1</v>
      </c>
    </row>
    <row r="23" ht="22.5" customHeight="1" s="59">
      <c r="A23" s="34" t="inlineStr">
        <is>
          <t>head &amp; face medicine</t>
        </is>
      </c>
      <c r="B23" s="34" t="n">
        <v>1</v>
      </c>
    </row>
    <row r="24" ht="22.5" customHeight="1" s="59">
      <c r="A24" s="34" t="inlineStr">
        <is>
          <t>icbip 2024 – international conference on biomedical signal and image processing</t>
        </is>
      </c>
      <c r="B24" s="34" t="n">
        <v>1</v>
      </c>
    </row>
    <row r="25" ht="22.5" customHeight="1" s="59">
      <c r="A25" s="34" t="inlineStr">
        <is>
          <t>imaging science in dentistry</t>
        </is>
      </c>
      <c r="B25" s="34" t="n">
        <v>1</v>
      </c>
    </row>
    <row r="26" ht="22.5" customHeight="1" s="59">
      <c r="A26" s="34" t="inlineStr">
        <is>
          <t>informatica medica slovenica</t>
        </is>
      </c>
      <c r="B26" s="34" t="n">
        <v>1</v>
      </c>
    </row>
    <row r="27" ht="22.5" customHeight="1" s="59">
      <c r="A27" s="34" t="inlineStr">
        <is>
          <t>the journal of prosthetic dentistry</t>
        </is>
      </c>
      <c r="B27" s="34" t="n">
        <v>1</v>
      </c>
    </row>
  </sheetData>
  <dataValidations count="1">
    <dataValidation sqref="B4:B8 B11:B27" showDropDown="1" showInputMessage="0" showErrorMessage="0" allowBlank="1" type="custom">
      <formula1>AND(ISNUMBER(B4),(NOT(OR(NOT(ISERROR(DATEVALUE(B4))), AND(ISNUMBER(B4), LEFT(CELL("format", B4))="D")))))</formula1>
    </dataValidation>
  </dataValidations>
  <pageMargins left="0.75" right="0.75" top="1" bottom="1" header="0.5" footer="0.5"/>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0" summaryRight="0"/>
    <pageSetUpPr/>
  </sheetPr>
  <dimension ref="A1:E41"/>
  <sheetViews>
    <sheetView workbookViewId="0">
      <selection activeCell="A1" sqref="A1"/>
    </sheetView>
  </sheetViews>
  <sheetFormatPr baseColWidth="8" defaultColWidth="12.63" defaultRowHeight="15.75" customHeight="1"/>
  <cols>
    <col width="32.88" customWidth="1" style="59" min="1" max="1"/>
    <col width="12.63" customWidth="1" style="59" min="2" max="5"/>
  </cols>
  <sheetData>
    <row r="1" ht="225" customHeight="1" s="59">
      <c r="A1" s="19" t="n"/>
    </row>
    <row r="2" ht="75" customHeight="1" s="59">
      <c r="A2" s="58" t="n"/>
    </row>
    <row r="3" ht="22.5" customHeight="1" s="59">
      <c r="A3" s="31" t="inlineStr">
        <is>
          <t>Dataset</t>
        </is>
      </c>
      <c r="B3" s="31" t="inlineStr">
        <is>
          <t>Weighted_Contribution_Score</t>
        </is>
      </c>
    </row>
    <row r="4" ht="22.5" customHeight="1" s="59">
      <c r="A4" s="34" t="inlineStr">
        <is>
          <t>11 previously published clinical studies on 2018 AAP/EFP classification</t>
        </is>
      </c>
      <c r="B4" s="34" t="n">
        <v>3.25</v>
      </c>
    </row>
    <row r="5" ht="22.5" customHeight="1" s="59">
      <c r="A5" s="34" t="inlineStr">
        <is>
          <t>13 studies using panoramic, periapical radiographs and clinical datasets</t>
        </is>
      </c>
      <c r="B5" s="34" t="n">
        <v>3.4</v>
      </c>
    </row>
    <row r="6" ht="22.5" customHeight="1" s="59">
      <c r="A6" s="34" t="inlineStr">
        <is>
          <t>20 diagnostic accuracy studies using panoramic, periapical, and bitewing radiographs</t>
        </is>
      </c>
      <c r="B6" s="34" t="n">
        <v>4.3</v>
      </c>
    </row>
    <row r="7" ht="22.5" customHeight="1" s="59">
      <c r="A7" s="34" t="inlineStr">
        <is>
          <t>20 included studies using periapical, bitewing, and panoramic radiographs</t>
        </is>
      </c>
      <c r="B7" s="34" t="n">
        <v>4.15</v>
      </c>
    </row>
    <row r="8" ht="22.5" customHeight="1" s="59">
      <c r="A8" s="34" t="inlineStr">
        <is>
          <t>30 studies using panoramic, periapical, bitewing radiographs</t>
        </is>
      </c>
      <c r="B8" s="34" t="n">
        <v>3.8</v>
      </c>
    </row>
    <row r="9" ht="22.5" customHeight="1" s="59">
      <c r="A9" s="34" t="inlineStr">
        <is>
          <t>42 studies from ScienceDirect, IEEE, ACM, PubMed</t>
        </is>
      </c>
      <c r="B9" s="34" t="n">
        <v>4</v>
      </c>
    </row>
    <row r="10" ht="22.5" customHeight="1" s="59">
      <c r="A10" s="34" t="inlineStr">
        <is>
          <t>Bitewing radiographs from Columbia University</t>
        </is>
      </c>
      <c r="B10" s="34" t="n">
        <v>3.6</v>
      </c>
    </row>
    <row r="11" ht="22.5" customHeight="1" s="59">
      <c r="A11" s="34" t="inlineStr">
        <is>
          <t>CBNUH Hospital + Kaggle public dataset</t>
        </is>
      </c>
      <c r="B11" s="34" t="n">
        <v>3.55</v>
      </c>
    </row>
    <row r="12" ht="22.5" customHeight="1" s="59">
      <c r="A12" s="34" t="inlineStr">
        <is>
          <t>CariesXrays public dataset</t>
        </is>
      </c>
      <c r="B12" s="34" t="n">
        <v>3.45</v>
      </c>
    </row>
    <row r="13" ht="22.5" customHeight="1" s="59">
      <c r="A13" s="34" t="inlineStr">
        <is>
          <t>DENTEX public dataset + external Slovenian clinical dataset</t>
        </is>
      </c>
      <c r="B13" s="34" t="n">
        <v>3.6</v>
      </c>
    </row>
    <row r="14" ht="22.5" customHeight="1" s="59">
      <c r="A14" s="34" t="inlineStr">
        <is>
          <t>DENTEX public panoramic dental X-ray dataset</t>
        </is>
      </c>
      <c r="B14" s="34" t="n">
        <v>4.3</v>
      </c>
    </row>
    <row r="15" ht="22.5" customHeight="1" s="59">
      <c r="A15" s="34" t="inlineStr">
        <is>
          <t>DNS Panoramic Images Dataset (Ivisionlab) with newly annotated cavity masks</t>
        </is>
      </c>
      <c r="B15" s="34" t="n">
        <v>4.1</v>
      </c>
    </row>
    <row r="16" ht="22.5" customHeight="1" s="59">
      <c r="A16" s="34" t="inlineStr">
        <is>
          <t>DenPAR dataset (IOPA radiographs)</t>
        </is>
      </c>
      <c r="B16" s="34" t="n">
        <v>3.3</v>
      </c>
    </row>
    <row r="17" ht="22.5" customHeight="1" s="59">
      <c r="A17" s="34" t="inlineStr">
        <is>
          <t>Dental Mate Caries Detection Dataset (Roboflow public RGB intraoral images)</t>
        </is>
      </c>
      <c r="B17" s="34" t="n">
        <v>3.85</v>
      </c>
    </row>
    <row r="18" ht="22.5" customHeight="1" s="59">
      <c r="A18" s="34" t="inlineStr">
        <is>
          <t>Dental X-ray dataset from Mendeley (Kybic et al., 2023)</t>
        </is>
      </c>
      <c r="B18" s="34" t="n">
        <v>3.6</v>
      </c>
    </row>
    <row r="19" ht="22.5" customHeight="1" s="59">
      <c r="A19" s="34" t="inlineStr">
        <is>
          <t>FD dataset (private, Brazil) + PD dataset (DENTEX public)</t>
        </is>
      </c>
      <c r="B19" s="34" t="n">
        <v>4.15</v>
      </c>
    </row>
    <row r="20" ht="22.5" customHeight="1" s="59">
      <c r="A20" s="34" t="inlineStr">
        <is>
          <t>HUNT4 Oral Health Study</t>
        </is>
      </c>
      <c r="B20" s="34" t="n">
        <v>4.05</v>
      </c>
    </row>
    <row r="21" ht="22.5" customHeight="1" s="59">
      <c r="A21" s="34" t="inlineStr">
        <is>
          <t>Multiple datasets from 21 included studies (bitewing, panoramic, periapical radiographs)</t>
        </is>
      </c>
      <c r="B21" s="34" t="n">
        <v>3.4</v>
      </c>
    </row>
    <row r="22" ht="22.5" customHeight="1" s="59">
      <c r="A22" s="34" t="inlineStr">
        <is>
          <t>Not a single dataset; multiple datasets across reviewed studies (bitewing, panoramic, CBCT, intraoral, DentC, Kaggle teeth)</t>
        </is>
      </c>
      <c r="B22" s="34" t="n">
        <v>3.55</v>
      </c>
    </row>
    <row r="23" ht="22.5" customHeight="1" s="59">
      <c r="A23" s="34" t="inlineStr">
        <is>
          <t>OdontoAI + DENTEX (public datasets)</t>
        </is>
      </c>
      <c r="B23" s="34" t="n">
        <v>4.75</v>
      </c>
    </row>
    <row r="24" ht="22.5" customHeight="1" s="59">
      <c r="A24" s="34" t="inlineStr">
        <is>
          <t>Open-source dataset from Zhejiang Provincial People’s Hospital (China)</t>
        </is>
      </c>
      <c r="B24" s="34" t="n">
        <v>3.5</v>
      </c>
    </row>
    <row r="25" ht="22.5" customHeight="1" s="59">
      <c r="A25" s="34" t="inlineStr">
        <is>
          <t>Oral Dataset (Kaggle, Sajid 2024)</t>
        </is>
      </c>
      <c r="B25" s="34" t="n">
        <v>3.85</v>
      </c>
    </row>
    <row r="26" ht="22.5" customHeight="1" s="59">
      <c r="A26" s="34" t="inlineStr">
        <is>
          <t>PAN + CBCT from West China Hospital</t>
        </is>
      </c>
      <c r="B26" s="34" t="n">
        <v>3.15</v>
      </c>
    </row>
    <row r="27" ht="22.5" customHeight="1" s="59">
      <c r="A27" s="34" t="inlineStr">
        <is>
          <t>Panoramic radiographs from Chile + Tufts University public dataset</t>
        </is>
      </c>
      <c r="B27" s="34" t="n">
        <v>3.95</v>
      </c>
    </row>
    <row r="28" ht="22.5" customHeight="1" s="59">
      <c r="A28" s="34" t="inlineStr">
        <is>
          <t>Private Romanian clinical dataset</t>
        </is>
      </c>
      <c r="B28" s="34" t="n">
        <v>4.3</v>
      </c>
    </row>
    <row r="29" ht="22.5" customHeight="1" s="59">
      <c r="A29" s="34" t="inlineStr">
        <is>
          <t>Private clinical panoramic radiographs</t>
        </is>
      </c>
      <c r="B29" s="34" t="n">
        <v>3.4</v>
      </c>
    </row>
    <row r="30" ht="22.5" customHeight="1" s="59">
      <c r="A30" s="34" t="inlineStr">
        <is>
          <t>Private clinical panoramic radiographs from Fang Hospital, Thailand (SIDEXIS Next Generation, Sirona)</t>
        </is>
      </c>
      <c r="B30" s="34" t="n">
        <v>4.35</v>
      </c>
    </row>
    <row r="31" ht="22.5" customHeight="1" s="59">
      <c r="A31" s="34" t="inlineStr">
        <is>
          <t>Private clinical panoramic radiographs with bitewing-confirmed ground truth</t>
        </is>
      </c>
      <c r="B31" s="34" t="n">
        <v>4.25</v>
      </c>
    </row>
    <row r="32" ht="22.5" customHeight="1" s="59">
      <c r="A32" s="34" t="inlineStr">
        <is>
          <t>Private clinical pediatric panoramic radiographs from Ataturk University archive (Planmeca ProMax 2D)</t>
        </is>
      </c>
      <c r="B32" s="34" t="n">
        <v>4.1</v>
      </c>
    </row>
    <row r="33" ht="22.5" customHeight="1" s="59">
      <c r="A33" s="34" t="inlineStr">
        <is>
          <t>Private clinical periapical dental X-ray images from dental clinic in Hualien, Taiwan</t>
        </is>
      </c>
      <c r="B33" s="34" t="n">
        <v>4.5</v>
      </c>
    </row>
    <row r="34" ht="22.5" customHeight="1" s="59">
      <c r="A34" s="34" t="inlineStr">
        <is>
          <t>Private dental X-ray dataset</t>
        </is>
      </c>
      <c r="B34" s="34" t="n">
        <v>3.35</v>
      </c>
    </row>
    <row r="35" ht="22.5" customHeight="1" s="59">
      <c r="A35" s="34" t="inlineStr">
        <is>
          <t>Private institutional dataset of digital panoramic radiographs of patients with fixed dental prostheses (FDPs)</t>
        </is>
      </c>
      <c r="B35" s="34" t="n">
        <v>4.35</v>
      </c>
    </row>
    <row r="36" ht="22.5" customHeight="1" s="59">
      <c r="A36" s="34" t="inlineStr">
        <is>
          <t>Private institutional panoramic radiographs</t>
        </is>
      </c>
      <c r="B36" s="34" t="n">
        <v>3.9</v>
      </c>
    </row>
    <row r="37" ht="22.5" customHeight="1" s="59">
      <c r="A37" s="34" t="inlineStr">
        <is>
          <t>Private pediatric OPG dataset (Öveçler Oral and Dental Health Clinic, Ankara)</t>
        </is>
      </c>
      <c r="B37" s="34" t="n">
        <v>3.85</v>
      </c>
    </row>
    <row r="38" ht="22.5" customHeight="1" s="59">
      <c r="A38" s="34" t="inlineStr">
        <is>
          <t>Retrospective bitewing radiographs from German dental clinic</t>
        </is>
      </c>
      <c r="B38" s="34" t="n">
        <v>4.4</v>
      </c>
    </row>
    <row r="39" ht="22.5" customHeight="1" s="59">
      <c r="A39" s="34" t="inlineStr">
        <is>
          <t>Roboflow panoramic dental X-ray dataset with tooth-level bounding boxes</t>
        </is>
      </c>
      <c r="B39" s="34" t="n">
        <v>3.6</v>
      </c>
    </row>
    <row r="40" ht="22.5" customHeight="1" s="59">
      <c r="A40" s="34" t="inlineStr">
        <is>
          <t>Tufts Dental Database (TDD); HUSHDD; NMICDD</t>
        </is>
      </c>
      <c r="B40" s="34" t="n">
        <v>4.05</v>
      </c>
    </row>
    <row r="41" ht="22.5" customHeight="1" s="59">
      <c r="A41" s="34" t="inlineStr">
        <is>
          <t>UFBA-UESC Dental Images Dataset (Diagnostic Imaging Center of Southwest State University of Bahia)</t>
        </is>
      </c>
      <c r="B41" s="34" t="n">
        <v>3.55</v>
      </c>
    </row>
  </sheetData>
  <mergeCells count="2">
    <mergeCell ref="A2:E2"/>
    <mergeCell ref="A1:E1"/>
  </mergeCells>
  <dataValidations count="1">
    <dataValidation sqref="B4:B41" showDropDown="1" showInputMessage="0" showErrorMessage="0" allowBlank="1" type="custom">
      <formula1>AND(ISNUMBER(B4),(NOT(OR(NOT(ISERROR(DATEVALUE(B4))), AND(ISNUMBER(B4), LEFT(CELL("format", B4))="D")))))</formula1>
    </dataValidation>
  </dataValidation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0" summaryRight="0"/>
    <pageSetUpPr/>
  </sheetPr>
  <dimension ref="A3:D7"/>
  <sheetViews>
    <sheetView workbookViewId="0">
      <selection activeCell="A1" sqref="A1"/>
    </sheetView>
  </sheetViews>
  <sheetFormatPr baseColWidth="8" defaultColWidth="12.63" defaultRowHeight="15.75" customHeight="1"/>
  <cols>
    <col width="12.63" customWidth="1" style="59" min="1" max="4"/>
  </cols>
  <sheetData>
    <row r="1" ht="225" customHeight="1" s="59"/>
    <row r="3" ht="22.5" customHeight="1" s="59">
      <c r="A3" s="31" t="inlineStr">
        <is>
          <t>Category_Short</t>
        </is>
      </c>
      <c r="B3" s="31" t="inlineStr">
        <is>
          <t>Large (&gt;1000)</t>
        </is>
      </c>
      <c r="C3" s="31" t="inlineStr">
        <is>
          <t>Medium (300-1000)</t>
        </is>
      </c>
      <c r="D3" s="31" t="inlineStr">
        <is>
          <t>Small (&lt;300)</t>
        </is>
      </c>
    </row>
    <row r="4" ht="22.5" customHeight="1" s="59">
      <c r="A4" s="34" t="n"/>
      <c r="B4" s="34" t="n">
        <v>4</v>
      </c>
      <c r="C4" s="34" t="n"/>
      <c r="D4" s="34" t="n"/>
    </row>
    <row r="5" ht="22.5" customHeight="1" s="59">
      <c r="A5" s="34" t="inlineStr">
        <is>
          <t>C1: Caries Detection</t>
        </is>
      </c>
      <c r="B5" s="34" t="n">
        <v>65.2</v>
      </c>
      <c r="C5" s="34" t="n">
        <v>3.6</v>
      </c>
      <c r="D5" s="34" t="n"/>
    </row>
    <row r="6" ht="22.5" customHeight="1" s="59">
      <c r="A6" s="34" t="inlineStr">
        <is>
          <t>C2: Periodontal Disease</t>
        </is>
      </c>
      <c r="B6" s="34" t="n">
        <v>27.75</v>
      </c>
      <c r="C6" s="34" t="n">
        <v>17.55</v>
      </c>
      <c r="D6" s="34" t="n">
        <v>3.15</v>
      </c>
    </row>
    <row r="7" ht="22.5" customHeight="1" s="59">
      <c r="A7" s="34" t="inlineStr">
        <is>
          <t>C3: Multi-task/End-to-End</t>
        </is>
      </c>
      <c r="B7" s="34" t="n">
        <v>25.3</v>
      </c>
      <c r="C7" s="34" t="n"/>
      <c r="D7" s="34" t="n"/>
    </row>
  </sheetData>
  <dataValidations count="1">
    <dataValidation sqref="B4:D7" showDropDown="1" showInputMessage="0" showErrorMessage="0" allowBlank="1" type="custom">
      <formula1>AND(ISNUMBER(B4),(NOT(OR(NOT(ISERROR(DATEVALUE(B4))), AND(ISNUMBER(B4), LEFT(CELL("format", B4))="D")))))</formula1>
    </dataValidation>
  </dataValidation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3:B8"/>
  <sheetViews>
    <sheetView workbookViewId="0">
      <selection activeCell="A1" sqref="A1"/>
    </sheetView>
  </sheetViews>
  <sheetFormatPr baseColWidth="8" defaultColWidth="12.63" defaultRowHeight="15.75" customHeight="1"/>
  <cols>
    <col width="12.63" customWidth="1" style="59" min="1" max="2"/>
  </cols>
  <sheetData>
    <row r="1" ht="225" customHeight="1" s="59"/>
    <row r="3" ht="22.5" customHeight="1" s="59">
      <c r="A3" s="31" t="inlineStr">
        <is>
          <t>Model_Families</t>
        </is>
      </c>
      <c r="B3" s="31" t="inlineStr">
        <is>
          <t>Weighted_Contribution</t>
        </is>
      </c>
    </row>
    <row r="4" ht="22.5" customHeight="1" s="59">
      <c r="A4" s="34" t="inlineStr">
        <is>
          <t>Hybrid / Multi-task Models</t>
        </is>
      </c>
      <c r="B4" s="34" t="n">
        <v>149.4</v>
      </c>
    </row>
    <row r="5" ht="22.5" customHeight="1" s="59">
      <c r="A5" s="34" t="inlineStr">
        <is>
          <t>YOLO-based Detectors</t>
        </is>
      </c>
      <c r="B5" s="34" t="n">
        <v>91.09999999999999</v>
      </c>
    </row>
    <row r="6" ht="22.5" customHeight="1" s="59">
      <c r="A6" s="34" t="inlineStr">
        <is>
          <t>U-Net / Segmentation Models</t>
        </is>
      </c>
      <c r="B6" s="34" t="n">
        <v>66.40000000000001</v>
      </c>
    </row>
    <row r="7" ht="22.5" customHeight="1" s="59">
      <c r="A7" s="34" t="inlineStr">
        <is>
          <t>CNN Classifiers/Backbones</t>
        </is>
      </c>
      <c r="B7" s="34" t="n">
        <v>53.05</v>
      </c>
    </row>
    <row r="8" ht="22.5" customHeight="1" s="59">
      <c r="A8" s="34" t="inlineStr">
        <is>
          <t>Transformer-based Models</t>
        </is>
      </c>
      <c r="B8" s="34" t="n">
        <v>30.65</v>
      </c>
    </row>
  </sheetData>
  <dataValidations count="1">
    <dataValidation sqref="B4:B8" showDropDown="1" showInputMessage="0" showErrorMessage="0" allowBlank="1" type="custom">
      <formula1>AND(ISNUMBER(B4),(NOT(OR(NOT(ISERROR(DATEVALUE(B4))), AND(ISNUMBER(B4), LEFT(CELL("format", B4))="D")))))</formula1>
    </dataValidation>
  </dataValidation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3:B8"/>
  <sheetViews>
    <sheetView workbookViewId="0">
      <selection activeCell="A1" sqref="A1"/>
    </sheetView>
  </sheetViews>
  <sheetFormatPr baseColWidth="8" defaultColWidth="12.63" defaultRowHeight="15.75" customHeight="1"/>
  <cols>
    <col width="12.63" customWidth="1" style="59" min="1" max="2"/>
  </cols>
  <sheetData>
    <row r="1" ht="225" customHeight="1" s="59"/>
    <row r="3" ht="22.5" customHeight="1" s="59">
      <c r="A3" s="31" t="inlineStr">
        <is>
          <t>Model_Families</t>
        </is>
      </c>
      <c r="B3" s="31" t="inlineStr">
        <is>
          <t>Weighted_Contribution</t>
        </is>
      </c>
    </row>
    <row r="4" ht="22.5" customHeight="1" s="59">
      <c r="A4" s="34" t="inlineStr">
        <is>
          <t>Hybrid / Multi-task Models</t>
        </is>
      </c>
      <c r="B4" s="34" t="n">
        <v>64.40000000000001</v>
      </c>
    </row>
    <row r="5" ht="22.5" customHeight="1" s="59">
      <c r="A5" s="34" t="inlineStr">
        <is>
          <t>YOLO-based Detectors</t>
        </is>
      </c>
      <c r="B5" s="34" t="n">
        <v>40.1</v>
      </c>
    </row>
    <row r="6" ht="22.5" customHeight="1" s="59">
      <c r="A6" s="34" t="inlineStr">
        <is>
          <t>U-Net / Segmentation Models</t>
        </is>
      </c>
      <c r="B6" s="34" t="n">
        <v>36.5</v>
      </c>
    </row>
    <row r="7" ht="22.5" customHeight="1" s="59">
      <c r="A7" s="34" t="inlineStr">
        <is>
          <t>CNN Classifiers/Backbones</t>
        </is>
      </c>
      <c r="B7" s="34" t="n">
        <v>18.95</v>
      </c>
    </row>
    <row r="8" ht="22.5" customHeight="1" s="59">
      <c r="A8" s="34" t="inlineStr">
        <is>
          <t>Transformer-based Models</t>
        </is>
      </c>
      <c r="B8" s="34" t="n">
        <v>8.699999999999999</v>
      </c>
    </row>
  </sheetData>
  <dataValidations count="1">
    <dataValidation sqref="B4:B8" showDropDown="1" showInputMessage="0" showErrorMessage="0" allowBlank="1" type="custom">
      <formula1>AND(ISNUMBER(B4),(NOT(OR(NOT(ISERROR(DATEVALUE(B4))), AND(ISNUMBER(B4), LEFT(CELL("format", B4))="D")))))</formula1>
    </dataValidation>
  </dataValidation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0" summaryRight="0"/>
    <pageSetUpPr/>
  </sheetPr>
  <dimension ref="A3:B7"/>
  <sheetViews>
    <sheetView workbookViewId="0">
      <selection activeCell="A1" sqref="A1"/>
    </sheetView>
  </sheetViews>
  <sheetFormatPr baseColWidth="8" defaultColWidth="12.63" defaultRowHeight="15.75" customHeight="1"/>
  <cols>
    <col width="12.63" customWidth="1" style="59" min="1" max="2"/>
  </cols>
  <sheetData>
    <row r="1" ht="225" customHeight="1" s="59"/>
    <row r="3" ht="22.5" customHeight="1" s="59">
      <c r="A3" s="31" t="inlineStr">
        <is>
          <t>Model_Families</t>
        </is>
      </c>
      <c r="B3" s="31" t="inlineStr">
        <is>
          <t>Weighted_Contribution</t>
        </is>
      </c>
    </row>
    <row r="4" ht="22.5" customHeight="1" s="59">
      <c r="A4" s="34" t="inlineStr">
        <is>
          <t>CNN Classifiers/Backbones</t>
        </is>
      </c>
      <c r="B4" s="34" t="n">
        <v>19.9</v>
      </c>
    </row>
    <row r="5" ht="22.5" customHeight="1" s="59">
      <c r="A5" s="34" t="inlineStr">
        <is>
          <t>Hybrid / Multi-task Models</t>
        </is>
      </c>
      <c r="B5" s="34" t="n">
        <v>46</v>
      </c>
    </row>
    <row r="6" ht="22.5" customHeight="1" s="59">
      <c r="A6" s="34" t="inlineStr">
        <is>
          <t>U-Net / Segmentation Models</t>
        </is>
      </c>
      <c r="B6" s="34" t="n">
        <v>15.95</v>
      </c>
    </row>
    <row r="7" ht="22.5" customHeight="1" s="59">
      <c r="A7" s="34" t="inlineStr">
        <is>
          <t>YOLO-based Detectors</t>
        </is>
      </c>
      <c r="B7" s="34" t="n">
        <v>24.65</v>
      </c>
    </row>
  </sheetData>
  <dataValidations count="1">
    <dataValidation sqref="B4:B7" showDropDown="1" showInputMessage="0" showErrorMessage="0" allowBlank="1" type="custom">
      <formula1>AND(ISNUMBER(B4),(NOT(OR(NOT(ISERROR(DATEVALUE(B4))), AND(ISNUMBER(B4), LEFT(CELL("format", B4))="D")))))</formula1>
    </dataValidation>
  </dataValidation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1.xml><?xml version="1.0" encoding="utf-8"?>
<worksheet xmlns="http://schemas.openxmlformats.org/spreadsheetml/2006/main">
  <sheetPr>
    <outlinePr summaryBelow="0" summaryRight="0"/>
    <pageSetUpPr/>
  </sheetPr>
  <dimension ref="A3:B7"/>
  <sheetViews>
    <sheetView workbookViewId="0">
      <selection activeCell="A1" sqref="A1"/>
    </sheetView>
  </sheetViews>
  <sheetFormatPr baseColWidth="8" defaultColWidth="12.63" defaultRowHeight="15.75" customHeight="1"/>
  <cols>
    <col width="12.63" customWidth="1" style="59" min="1" max="2"/>
  </cols>
  <sheetData>
    <row r="1" ht="225" customHeight="1" s="59"/>
    <row r="3" ht="22.5" customHeight="1" s="59">
      <c r="A3" s="31" t="inlineStr">
        <is>
          <t>Model_Families</t>
        </is>
      </c>
      <c r="B3" s="31" t="inlineStr">
        <is>
          <t>Weighted_Contribution</t>
        </is>
      </c>
    </row>
    <row r="4" ht="22.5" customHeight="1" s="59">
      <c r="A4" s="34" t="inlineStr">
        <is>
          <t>CNN Classifiers/Backbones</t>
        </is>
      </c>
      <c r="B4" s="34" t="n">
        <v>4.1</v>
      </c>
    </row>
    <row r="5" ht="22.5" customHeight="1" s="59">
      <c r="A5" s="34" t="inlineStr">
        <is>
          <t>Hybrid / Multi-task Models</t>
        </is>
      </c>
      <c r="B5" s="34" t="n">
        <v>22.05</v>
      </c>
    </row>
    <row r="6" ht="22.5" customHeight="1" s="59">
      <c r="A6" s="34" t="inlineStr">
        <is>
          <t>Transformer-based Models</t>
        </is>
      </c>
      <c r="B6" s="34" t="n">
        <v>8.6</v>
      </c>
    </row>
    <row r="7" ht="22.5" customHeight="1" s="59">
      <c r="A7" s="34" t="inlineStr">
        <is>
          <t>YOLO-based Detectors</t>
        </is>
      </c>
      <c r="B7" s="34" t="n">
        <v>13.8999999999999</v>
      </c>
    </row>
  </sheetData>
  <dataValidations count="1">
    <dataValidation sqref="B4:B7" showDropDown="1" showInputMessage="0" showErrorMessage="0" allowBlank="1" type="custom">
      <formula1>AND(ISNUMBER(B4),(NOT(OR(NOT(ISERROR(DATEVALUE(B4))), AND(ISNUMBER(B4), LEFT(CELL("format", B4))="D")))))</formula1>
    </dataValidation>
  </dataValidation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0" summaryRight="0"/>
    <pageSetUpPr/>
  </sheetPr>
  <dimension ref="A3:B9"/>
  <sheetViews>
    <sheetView workbookViewId="0">
      <selection activeCell="A1" sqref="A1"/>
    </sheetView>
  </sheetViews>
  <sheetFormatPr baseColWidth="8" defaultColWidth="12.63" defaultRowHeight="15.75" customHeight="1"/>
  <cols>
    <col width="12.63" customWidth="1" style="59" min="1" max="2"/>
  </cols>
  <sheetData>
    <row r="1" ht="225" customHeight="1" s="59"/>
    <row r="3" ht="22.5" customHeight="1" s="59">
      <c r="A3" s="31" t="inlineStr">
        <is>
          <t>Model_Category</t>
        </is>
      </c>
      <c r="B3" s="31" t="inlineStr">
        <is>
          <t>Count</t>
        </is>
      </c>
    </row>
    <row r="4" ht="22.5" customHeight="1" s="59">
      <c r="A4" s="34" t="inlineStr">
        <is>
          <t>General CNN/Architecture</t>
        </is>
      </c>
      <c r="B4" s="34" t="n">
        <v>13</v>
      </c>
    </row>
    <row r="5" ht="22.5" customHeight="1" s="59">
      <c r="A5" s="34" t="inlineStr">
        <is>
          <t>Other Models</t>
        </is>
      </c>
      <c r="B5" s="34" t="n">
        <v>14</v>
      </c>
    </row>
    <row r="6" ht="22.5" customHeight="1" s="59">
      <c r="A6" s="34" t="inlineStr">
        <is>
          <t>R-CNN Family (Faster/Mask)</t>
        </is>
      </c>
      <c r="B6" s="34" t="n">
        <v>11</v>
      </c>
    </row>
    <row r="7" ht="22.5" customHeight="1" s="59">
      <c r="A7" s="34" t="inlineStr">
        <is>
          <t>ResNet Family</t>
        </is>
      </c>
      <c r="B7" s="34" t="n">
        <v>10</v>
      </c>
    </row>
    <row r="8" ht="22.5" customHeight="1" s="59">
      <c r="A8" s="34" t="inlineStr">
        <is>
          <t>VGG Family</t>
        </is>
      </c>
      <c r="B8" s="34" t="n">
        <v>9</v>
      </c>
    </row>
    <row r="9" ht="22.5" customHeight="1" s="59">
      <c r="A9" s="34" t="inlineStr">
        <is>
          <t>YOLO Family (v5, v7, v8, v9, etc.)</t>
        </is>
      </c>
      <c r="B9" s="34" t="n">
        <v>27</v>
      </c>
    </row>
  </sheetData>
  <dataValidations count="1">
    <dataValidation sqref="B4:B9" showDropDown="1" showInputMessage="0" showErrorMessage="0" allowBlank="1" type="custom">
      <formula1>AND(ISNUMBER(B4),(NOT(OR(NOT(ISERROR(DATEVALUE(B4))), AND(ISNUMBER(B4), LEFT(CELL("format", B4))="D")))))</formula1>
    </dataValidation>
  </dataValidation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13.xml><?xml version="1.0" encoding="utf-8"?>
<worksheet xmlns="http://schemas.openxmlformats.org/spreadsheetml/2006/main">
  <sheetPr>
    <outlinePr summaryBelow="0" summaryRight="0"/>
    <pageSetUpPr/>
  </sheetPr>
  <dimension ref="A3:E7"/>
  <sheetViews>
    <sheetView workbookViewId="0">
      <selection activeCell="A1" sqref="A1"/>
    </sheetView>
  </sheetViews>
  <sheetFormatPr baseColWidth="8" defaultColWidth="12.63" defaultRowHeight="15.75" customHeight="1"/>
  <cols>
    <col width="12.63" customWidth="1" style="59" min="1" max="5"/>
  </cols>
  <sheetData>
    <row r="1" ht="225" customHeight="1" s="59"/>
    <row r="3" ht="22.5" customHeight="1" s="59">
      <c r="A3" s="31" t="inlineStr">
        <is>
          <t>Model_Category</t>
        </is>
      </c>
      <c r="B3" s="31" t="inlineStr">
        <is>
          <t>U-Net Family</t>
        </is>
      </c>
      <c r="C3" s="31" t="inlineStr">
        <is>
          <t>YOLO Segmentation</t>
        </is>
      </c>
      <c r="D3" s="31" t="inlineStr">
        <is>
          <t>Other Explicit Segmentation</t>
        </is>
      </c>
      <c r="E3" s="31" t="inlineStr">
        <is>
          <t>R-CNN Segmentation</t>
        </is>
      </c>
    </row>
    <row r="4" ht="22.5" customHeight="1" s="59">
      <c r="A4" s="34" t="inlineStr">
        <is>
          <t>Other Explicit Segmentation</t>
        </is>
      </c>
      <c r="B4" s="34" t="n"/>
      <c r="C4" s="34" t="n"/>
      <c r="D4" s="34" t="n">
        <v>5</v>
      </c>
      <c r="E4" s="34" t="n"/>
    </row>
    <row r="5" ht="22.5" customHeight="1" s="59">
      <c r="A5" s="34" t="inlineStr">
        <is>
          <t>R-CNN Segmentation</t>
        </is>
      </c>
      <c r="B5" s="34" t="n"/>
      <c r="C5" s="34" t="n"/>
      <c r="D5" s="34" t="n"/>
      <c r="E5" s="34" t="n">
        <v>5</v>
      </c>
    </row>
    <row r="6" ht="22.5" customHeight="1" s="59">
      <c r="A6" s="34" t="inlineStr">
        <is>
          <t>U-Net Family</t>
        </is>
      </c>
      <c r="B6" s="34" t="n">
        <v>14</v>
      </c>
      <c r="C6" s="34" t="n"/>
      <c r="D6" s="34" t="n"/>
      <c r="E6" s="34" t="n"/>
    </row>
    <row r="7" ht="22.5" customHeight="1" s="59">
      <c r="A7" s="34" t="inlineStr">
        <is>
          <t>YOLO Segmentation</t>
        </is>
      </c>
      <c r="B7" s="34" t="n"/>
      <c r="C7" s="34" t="n">
        <v>6</v>
      </c>
      <c r="D7" s="34" t="n"/>
      <c r="E7" s="34" t="n"/>
    </row>
  </sheetData>
  <dataValidations count="1">
    <dataValidation sqref="B4:E7" showDropDown="1" showInputMessage="0" showErrorMessage="0" allowBlank="1" type="custom">
      <formula1>AND(ISNUMBER(B4),(NOT(OR(NOT(ISERROR(DATEVALUE(B4))), AND(ISNUMBER(B4), LEFT(CELL("format", B4))="D")))))</formula1>
    </dataValidation>
  </dataValidations>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2026-08-13T05:41:35Z</dcterms:created>
  <dcterms:modified xmlns:dcterms="http://purl.org/dc/terms/" xmlns:xsi="http://www.w3.org/2001/XMLSchema-instance" xsi:type="dcterms:W3CDTF">2026-08-13T05:41:35Z</dcterms:modified>
</cp:coreProperties>
</file>